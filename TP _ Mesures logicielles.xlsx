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C" sheetId="1" r:id="rId5"/>
    <sheet state="visible" name="CC" sheetId="2" r:id="rId6"/>
    <sheet state="visible" name="BILAN" sheetId="3" r:id="rId7"/>
    <sheet state="visible" name="HALSTEAD" sheetId="4" r:id="rId8"/>
    <sheet state="visible" name="UFC" sheetId="5" r:id="rId9"/>
    <sheet state="visible" name="UFC QS" sheetId="6" r:id="rId10"/>
    <sheet state="visible" name="UFC SAE" sheetId="7" r:id="rId11"/>
    <sheet state="visible" name="MI" sheetId="8" r:id="rId12"/>
    <sheet state="visible" name="TCF" sheetId="9" r:id="rId13"/>
    <sheet state="visible" name="FPC" sheetId="10" r:id="rId14"/>
    <sheet state="visible" name="formules" sheetId="11" r:id="rId15"/>
    <sheet state="visible" name="HPC Green Algorithms" sheetId="12" r:id="rId16"/>
    <sheet state="visible" name="EcoIndex" sheetId="13" r:id="rId17"/>
  </sheets>
  <definedNames/>
  <calcPr/>
</workbook>
</file>

<file path=xl/sharedStrings.xml><?xml version="1.0" encoding="utf-8"?>
<sst xmlns="http://schemas.openxmlformats.org/spreadsheetml/2006/main" count="271" uniqueCount="225">
  <si>
    <t>nom fichier</t>
  </si>
  <si>
    <t>nbr LOC</t>
  </si>
  <si>
    <t>index.html</t>
  </si>
  <si>
    <t>nt</t>
  </si>
  <si>
    <t>mentions.html</t>
  </si>
  <si>
    <t>iqsort</t>
  </si>
  <si>
    <t>E</t>
  </si>
  <si>
    <t>nd</t>
  </si>
  <si>
    <t>Nt</t>
  </si>
  <si>
    <t>LOC</t>
  </si>
  <si>
    <t>N</t>
  </si>
  <si>
    <t>Nd</t>
  </si>
  <si>
    <t>P</t>
  </si>
  <si>
    <t>CC</t>
  </si>
  <si>
    <t>n</t>
  </si>
  <si>
    <t>V</t>
  </si>
  <si>
    <t>D</t>
  </si>
  <si>
    <t>N = Nt + Nd</t>
  </si>
  <si>
    <t>n = nt + nd</t>
  </si>
  <si>
    <t>V = N * log2(n)</t>
  </si>
  <si>
    <t>Opérateur</t>
  </si>
  <si>
    <t>Nb</t>
  </si>
  <si>
    <t>Opérande</t>
  </si>
  <si>
    <t>D = (nt/2) * (Nd/nd)</t>
  </si>
  <si>
    <t>()</t>
  </si>
  <si>
    <t>a</t>
  </si>
  <si>
    <t>E = D * V</t>
  </si>
  <si>
    <t>,</t>
  </si>
  <si>
    <t>j</t>
  </si>
  <si>
    <t>;</t>
  </si>
  <si>
    <t>i</t>
  </si>
  <si>
    <t>int</t>
  </si>
  <si>
    <t>if</t>
  </si>
  <si>
    <t>"="</t>
  </si>
  <si>
    <t>iqsort0</t>
  </si>
  <si>
    <t>&lt;</t>
  </si>
  <si>
    <t>"++"</t>
  </si>
  <si>
    <t>swap</t>
  </si>
  <si>
    <t>[]</t>
  </si>
  <si>
    <t>"+"</t>
  </si>
  <si>
    <t>-</t>
  </si>
  <si>
    <t>void</t>
  </si>
  <si>
    <t>*</t>
  </si>
  <si>
    <t>{}</t>
  </si>
  <si>
    <t>return</t>
  </si>
  <si>
    <t>for</t>
  </si>
  <si>
    <t>&lt;=</t>
  </si>
  <si>
    <t>Poids</t>
  </si>
  <si>
    <t>Scores</t>
  </si>
  <si>
    <t>Categorie</t>
  </si>
  <si>
    <t>Simple</t>
  </si>
  <si>
    <t>Moyen</t>
  </si>
  <si>
    <t>Difficile</t>
  </si>
  <si>
    <t>Sous-total</t>
  </si>
  <si>
    <t>Score total UFC</t>
  </si>
  <si>
    <t>Entrées Externes</t>
  </si>
  <si>
    <t>Sorties Externes</t>
  </si>
  <si>
    <t>Requêtes Externes</t>
  </si>
  <si>
    <t>Fichiers Internes</t>
  </si>
  <si>
    <t>Fichiers Externes</t>
  </si>
  <si>
    <t>Poids Simple</t>
  </si>
  <si>
    <t>Poids Moyen</t>
  </si>
  <si>
    <t>Poids Difficile</t>
  </si>
  <si>
    <t>Nb Simple</t>
  </si>
  <si>
    <t>Nb Moyen</t>
  </si>
  <si>
    <t>Nb Difficile</t>
  </si>
  <si>
    <t>UFC</t>
  </si>
  <si>
    <t>Calcul sous-total</t>
  </si>
  <si>
    <t>Calcul UFC</t>
  </si>
  <si>
    <t>23 x 3 + 12 x 4 + 2 x 6 = 129</t>
  </si>
  <si>
    <t>129 + 117 + 24 + 28 + 112 = 410</t>
  </si>
  <si>
    <t>12 x 4 + 11 x 5 + 2 x 7 = 117</t>
  </si>
  <si>
    <t>8 x 3 + 0 x 4 + 0 x 6 = 24</t>
  </si>
  <si>
    <t>4 x 7 + 0 x 10 + 0 x 15 = 28</t>
  </si>
  <si>
    <t>12 x 5 + 6 x 7 + 1 x 10 = 112</t>
  </si>
  <si>
    <t>Règle de difficulté : simple = 0 à 2 champs ou 1 table ; moyen = 3 à 5 champs ; difficile = 6 champs ou plus / plusieurs tables</t>
  </si>
  <si>
    <t>Entrées externes (formulaires du site)</t>
  </si>
  <si>
    <t>Simples (23) : connexion, vérif code, renvoyer code, mdp oublié, reset mdp, avatar, supprimer mon compte, déconnexion, blacklist, points fidélité, supprimer user (admin), inscription événement, désinscription événement, supprimer événement, supprimer actualité, mettre actu en avant, supprimer produit, stock produit, supprimer bannière, voter, supprimer sondage, cookies, recherche boutique</t>
  </si>
  <si>
    <t>Moyennes (12) : inscription, changer mdp, mdp dashboard, créer actu, modifier actu, créer produit, modifier produit, créer bannière, modifier bannière, créer sondage, contact, paiement</t>
  </si>
  <si>
    <t>Difficiles (2) : créer événement, modifier événement</t>
  </si>
  <si>
    <t>Sorties externes (pages qui affichent des données + emails)</t>
  </si>
  <si>
    <t>Simples (12) : liste actualités, détail actualité, liste sondages, liste users admin, bannière flash, paiement réussi, paiement échoué, 404, mail code vérif, mail renvoi code, mail reset mdp, mail contact</t>
  </si>
  <si>
    <t>Moyennes (11) : liste événements, détail événement (places), résultats sondage, profil, historique achats, historique billets, à propos (horaires), dashboard actualités, dashboard boutique, dashboard événements, dashboard membres</t>
  </si>
  <si>
    <t>Difficiles (2) : accueil (actus + événements + produits + sondages), boutique (4 tables + filtres + recherche)</t>
  </si>
  <si>
    <t>Requêtes externes (boîtes de dialogue de confirmation)</t>
  </si>
  <si>
    <t>Simples (8) : supprimer sondage, supprimer produit, supprimer user (admin), supprimer mon compte, supprimer événement, supprimer actualité, supprimer bannière, bannière cookies</t>
  </si>
  <si>
    <t>Fichiers internes (fichiers stockés sur le serveur)</t>
  </si>
  <si>
    <t>Simples (4) : uploads avatars, uploads boutique, uploads événements, uploads actualités</t>
  </si>
  <si>
    <t>Fichiers externes (BD MySQL alwaysdata + API SumUp)</t>
  </si>
  <si>
    <t>Simples (12) : password_resets, event_registration, actualite_featured, poll, poll_option, poll_user_vote, merch, food, drink, ticket, bde_hourly, bde_special_days</t>
  </si>
  <si>
    <t>Moyens (6) : pre_users, evenement, actualite, flash_banner, user_order, API de paiement SumUp</t>
  </si>
  <si>
    <t>Difficile (1) : user (10 colonnes, liée à presque toutes les tables)</t>
  </si>
  <si>
    <t>HV</t>
  </si>
  <si>
    <t>MI</t>
  </si>
  <si>
    <t>Calcul</t>
  </si>
  <si>
    <t>MI = 171 - 5,2 ln(HV) - 0,23 CC - 16,2 ln(LOC)</t>
  </si>
  <si>
    <t>171 - 5,2 x ln(390.08) - 0,23 x 4 - 16,2 x ln(14) = 96.3</t>
  </si>
  <si>
    <t>Facteur</t>
  </si>
  <si>
    <t>Description</t>
  </si>
  <si>
    <t>BdeLive</t>
  </si>
  <si>
    <t>TCF</t>
  </si>
  <si>
    <t>Justification</t>
  </si>
  <si>
    <t>Calcul TCF</t>
  </si>
  <si>
    <t>Sauvegarde et récupération fiables ?</t>
  </si>
  <si>
    <t>comptes, commandes et paiements stockés en BD hébergée</t>
  </si>
  <si>
    <t>0,65 + 0,01 x (3 + 5 + 2 + 2 + 2 + 5 + 4 + 5 + 3 + 2 + 4 + 4 + 2 + 4) = 0,65 + 0,01 x 47 = 1.12</t>
  </si>
  <si>
    <t>Nécessite une communication de données ?</t>
  </si>
  <si>
    <t>BD distante alwaysdata, API SumUp, envoi de mails</t>
  </si>
  <si>
    <t>Y a t’il des fonctions de traitement distribué ?</t>
  </si>
  <si>
    <t>serveur PHP, BD et paiement sur des machines différentes</t>
  </si>
  <si>
    <t>Les performances sont elles critiques ?</t>
  </si>
  <si>
    <t>site associatif, pas de contrainte forte de performance</t>
  </si>
  <si>
    <t>Environnement existant et lourdement utilisé ?</t>
  </si>
  <si>
    <t>hébergement mutualisé alwaysdata</t>
  </si>
  <si>
    <t>Saisie de données en ligne ?</t>
  </si>
  <si>
    <t>toute la saisie se fait par formulaires web</t>
  </si>
  <si>
    <t>Saisie sur plusieurs écrans ?</t>
  </si>
  <si>
    <t>inscription en 2 étapes (formulaire puis code), paiement sur plusieurs pages</t>
  </si>
  <si>
    <t>Fichiers principaux mis a jour en ligne ?</t>
  </si>
  <si>
    <t>la BD est modifiée en direct à chaque action</t>
  </si>
  <si>
    <t>Entrées, sorties, fichiers, requêtes complexes ?</t>
  </si>
  <si>
    <t>uploads d'images, paiement en ligne, emails</t>
  </si>
  <si>
    <t>Traitement interne complexe ?</t>
  </si>
  <si>
    <t>règles métier simples : points, places, votes</t>
  </si>
  <si>
    <t>Code conçu pour être réutilisable ?</t>
  </si>
  <si>
    <t>architecture Domain / UseCases / Infrastructure avec interfaces</t>
  </si>
  <si>
    <t>Conversion et installation prévues dans la conception ?</t>
  </si>
  <si>
    <t>Docker, init.sql et déploiement automatique GitHub Actions</t>
  </si>
  <si>
    <t>Système conçu pour multiples organisations et plateformes</t>
  </si>
  <si>
    <t>site web responsive, mais pour un seul BDE</t>
  </si>
  <si>
    <t>L’application est facile d’utilisation pour les utilisateurs ?</t>
  </si>
  <si>
    <t>interface simple, aria-labels pour l'accessibilité</t>
  </si>
  <si>
    <t xml:space="preserve">UFC </t>
  </si>
  <si>
    <t>HALSTEAD</t>
  </si>
  <si>
    <t>Sous-total = Simple x nb + Moyen x nb + Difficile x nb</t>
  </si>
  <si>
    <t>N = Nt + Nd (longueur)</t>
  </si>
  <si>
    <t>UFC = somme des 5 sous-totaux</t>
  </si>
  <si>
    <t>n = nt + nd (vocabulaire)</t>
  </si>
  <si>
    <t>V = N * log2(n) (volume)</t>
  </si>
  <si>
    <t>Poids = fixes (ne pas toucher), Scores = nb comptés</t>
  </si>
  <si>
    <t>D = (nt / 2) * (Nd / nd) (difficulté)</t>
  </si>
  <si>
    <t>E = D * V (effort)</t>
  </si>
  <si>
    <t>Catégories (cours, Albrecht) :</t>
  </si>
  <si>
    <t>- Entrées ext. = données saisies par l'utilisateur</t>
  </si>
  <si>
    <t>nt = nb d'opérateurs distincts</t>
  </si>
  <si>
    <t>- Sorties ext. = résultats affichés à l'utilisateur (IHM)</t>
  </si>
  <si>
    <t>Nt = nb total d'occurrences d'opérateurs</t>
  </si>
  <si>
    <t>- Requêtes ext. = entrées demandées à l'utilisateur (ex : boîte de dialogue)</t>
  </si>
  <si>
    <t>nd = nb d'opérandes distincts</t>
  </si>
  <si>
    <t>- Fichiers internes = données stockées sur fichier par l'appli</t>
  </si>
  <si>
    <t>Nd = nb total d'occurrences d'opérandes</t>
  </si>
  <si>
    <t>- Fichiers externes = données via un mécanisme externe (ex : BD)</t>
  </si>
  <si>
    <t>Conventions choisies :</t>
  </si>
  <si>
    <t>Méthode : lister les interactions -&gt; classer (catégorie + difficulté) -&gt; compter dans Scores</t>
  </si>
  <si>
    <t>- une paire () [] {} compte comme 1 opérateur</t>
  </si>
  <si>
    <t>- noms de fonctions (swap, iqsort0) = opérandes</t>
  </si>
  <si>
    <t>- constantes (0, 1) = opérandes</t>
  </si>
  <si>
    <t>- , et ; comptés comme opérateurs</t>
  </si>
  <si>
    <t>A calculer :</t>
  </si>
  <si>
    <t>C</t>
  </si>
  <si>
    <t>DOM : nombre d'éléments du DOM (noeuds)</t>
  </si>
  <si>
    <t>t</t>
  </si>
  <si>
    <t>Nom processeur</t>
  </si>
  <si>
    <t>CPU ou GPU</t>
  </si>
  <si>
    <t>n_p</t>
  </si>
  <si>
    <t>n_c_p</t>
  </si>
  <si>
    <t>n_c</t>
  </si>
  <si>
    <t>TDP</t>
  </si>
  <si>
    <t>P_c</t>
  </si>
  <si>
    <t>Ko : données passant par le réseau entre client-serveur (en Ko)</t>
  </si>
  <si>
    <t>u_c</t>
  </si>
  <si>
    <t>mem/coeur 
(jsp ce que c'est mais 
normalement osef</t>
  </si>
  <si>
    <t>n_m</t>
  </si>
  <si>
    <t>P_m</t>
  </si>
  <si>
    <t>PUE</t>
  </si>
  <si>
    <t>CI</t>
  </si>
  <si>
    <t>PSF</t>
  </si>
  <si>
    <t>Sujet :</t>
  </si>
  <si>
    <t>HTTP : nombre de requêtes HTTP</t>
  </si>
  <si>
    <t>Avec ces éléments, utilisez le tableau suivant (calcul auto) :</t>
  </si>
  <si>
    <t>Resultat 
EcoIndex
arrondi</t>
  </si>
  <si>
    <t xml:space="preserve">Résultat 
EcoIndex </t>
  </si>
  <si>
    <t>DOM</t>
  </si>
  <si>
    <t>Quantile</t>
  </si>
  <si>
    <t>Quantile(xDOM)</t>
  </si>
  <si>
    <t>Ko</t>
  </si>
  <si>
    <t>Quantile (xKo)</t>
  </si>
  <si>
    <t>HTTP</t>
  </si>
  <si>
    <t>Quantile (xHTTP)</t>
  </si>
  <si>
    <t>ecoindex.fr</t>
  </si>
  <si>
    <t>Système</t>
  </si>
  <si>
    <t>FPC</t>
  </si>
  <si>
    <t>FPC = UFC x TCF</t>
  </si>
  <si>
    <t>410 x 1.12 = 459.2</t>
  </si>
  <si>
    <t>Xeon E5-2680</t>
  </si>
  <si>
    <t>CPU</t>
  </si>
  <si>
    <t>BERT (base)</t>
  </si>
  <si>
    <t>Tesla V100</t>
  </si>
  <si>
    <t>GPU</t>
  </si>
  <si>
    <t>BERT (hyperparamètres)</t>
  </si>
  <si>
    <t>Tesla V101</t>
  </si>
  <si>
    <t>Légende :</t>
  </si>
  <si>
    <t>Les notations en jaune sont tirées du cours,
les autres sont des nommages arbitraires</t>
  </si>
  <si>
    <t>C = Empreinte carbone (gCO2e (=grammes de gaz à effet de serre))</t>
  </si>
  <si>
    <t>Les notations en vert dans le tableau sont des calculs auto.
Pour le reste faut chercher dans la consigne et 
les specs du processeur pour remplir le tableau</t>
  </si>
  <si>
    <t>E = Consommation d'énergie (kWh)</t>
  </si>
  <si>
    <t>leboncoin.fr</t>
  </si>
  <si>
    <t>n_p = nombre de processeurs</t>
  </si>
  <si>
    <t>n_c_p = nombre de coeurs par processeur</t>
  </si>
  <si>
    <t>n_c = nombre total de coeurs (=n_p*n_c_p)</t>
  </si>
  <si>
    <t>TDP = "Puissance de Dissipation Thermique" (W)</t>
  </si>
  <si>
    <t>P_c = Puissance par Coeur (W) (=TDP/n_c_p)</t>
  </si>
  <si>
    <t>u_c = facteur d'utilisation du processeur (entre 0 et 1 avec 1 = 100%)</t>
  </si>
  <si>
    <t>n_m = mémoire disponible (Go)</t>
  </si>
  <si>
    <t>P_m = Puissance consommée par la mémoire (W) (défaut=0,3725)</t>
  </si>
  <si>
    <t>amazon.com</t>
  </si>
  <si>
    <t>PUE = coefficient d'efficacité (défaut=1,67)</t>
  </si>
  <si>
    <t>CI = Intensité Carbone de la production (défaut=475)</t>
  </si>
  <si>
    <t>PSF = Facteur d'échelle pragmatique (défaut=1)</t>
  </si>
  <si>
    <t>Pour les quantiles, voir le tableau suivant :</t>
  </si>
  <si>
    <t>Quantile (n)</t>
  </si>
  <si>
    <t>Borne
DOM</t>
  </si>
  <si>
    <t>Borne
Ko</t>
  </si>
  <si>
    <t>Borne
HTTP</t>
  </si>
  <si>
    <t>Arbitraire : 
aide au 
calcul auto</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</si>
</sst>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rgb="FF000000"/>
      <name val="Arial"/>
    </font>
    <font>
      <sz val="11.0"/>
      <color rgb="FF000000"/>
      <name val="Arial"/>
      <scheme val="minor"/>
    </font>
    <font>
      <color theme="1"/>
      <name val="Arial"/>
      <scheme val="minor"/>
    </font>
    <font>
      <color theme="1"/>
      <name val="Arial"/>
    </font>
    <font>
      <sz val="11.0"/>
      <color rgb="FF000000"/>
      <name val="Calibri"/>
    </font>
    <font>
      <sz val="10.0"/>
      <color theme="1"/>
      <name val="Arial"/>
    </font>
    <font>
      <u/>
      <sz val="10.0"/>
      <color rgb="FF0000FF"/>
      <name val="Arial"/>
    </font>
    <font/>
    <font>
      <b/>
      <sz val="10.0"/>
      <color theme="1"/>
      <name val="Arial"/>
    </font>
  </fonts>
  <fills count="4">
    <fill>
      <patternFill patternType="none"/>
    </fill>
    <fill>
      <patternFill patternType="lightGray"/>
    </fill>
    <fill>
      <patternFill patternType="solid">
        <fgColor rgb="FFB6D7A8"/>
        <bgColor rgb="FFB6D7A8"/>
      </patternFill>
    </fill>
    <fill>
      <patternFill patternType="solid">
        <fgColor rgb="FFFFFF00"/>
        <bgColor rgb="FFFFFF00"/>
      </patternFill>
    </fill>
  </fills>
  <borders count="12">
    <border/>
    <border>
      <left style="medium">
        <color rgb="FFCCCCCC"/>
      </left>
      <right style="medium">
        <color rgb="FFCCCCCC"/>
      </right>
      <top style="medium">
        <color rgb="FFCCCCCC"/>
      </top>
      <bottom style="medium">
        <color rgb="FFCCCCCC"/>
      </bottom>
    </border>
    <border>
      <left style="medium">
        <color rgb="FFCCCCCC"/>
      </left>
      <top style="medium">
        <color rgb="FFCCCCCC"/>
      </top>
      <bottom style="medium">
        <color rgb="FFCCCCCC"/>
      </bottom>
    </border>
    <border>
      <top style="medium">
        <color rgb="FFCCCCCC"/>
      </top>
      <bottom style="medium">
        <color rgb="FFCCCCCC"/>
      </bottom>
    </border>
    <border>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CCCCCC"/>
      </left>
      <right style="medium">
        <color rgb="FF000000"/>
      </right>
      <top style="medium">
        <color rgb="FFCCCCCC"/>
      </top>
      <bottom style="medium">
        <color rgb="FF000000"/>
      </bottom>
    </border>
    <border>
      <left style="medium">
        <color rgb="FF000000"/>
      </left>
      <right style="medium">
        <color rgb="FF000000"/>
      </right>
      <top style="medium">
        <color rgb="FFCCCCCC"/>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vertical="bottom" wrapText="0"/>
    </xf>
    <xf borderId="0" fillId="0" fontId="3" numFmtId="0" xfId="0" applyAlignment="1" applyFont="1">
      <alignment readingOrder="0"/>
    </xf>
    <xf borderId="0" fillId="0" fontId="2" numFmtId="0" xfId="0" applyAlignment="1" applyFont="1">
      <alignment horizontal="right" readingOrder="0" shrinkToFit="0" vertical="bottom" wrapText="0"/>
    </xf>
    <xf borderId="0" fillId="0" fontId="4"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5"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shrinkToFit="0" vertical="bottom" wrapText="0"/>
    </xf>
    <xf borderId="1" fillId="0" fontId="6" numFmtId="0" xfId="0" applyAlignment="1" applyBorder="1" applyFont="1">
      <alignment shrinkToFit="0" wrapText="1"/>
    </xf>
    <xf borderId="1" fillId="2" fontId="6" numFmtId="0" xfId="0" applyAlignment="1" applyBorder="1" applyFill="1" applyFont="1">
      <alignment shrinkToFit="0" wrapText="1"/>
    </xf>
    <xf borderId="1" fillId="0" fontId="6" numFmtId="0" xfId="0" applyAlignment="1" applyBorder="1" applyFont="1">
      <alignment vertical="center"/>
    </xf>
    <xf borderId="1" fillId="3" fontId="6" numFmtId="0" xfId="0" applyAlignment="1" applyBorder="1" applyFill="1" applyFont="1">
      <alignment shrinkToFit="0" wrapText="1"/>
    </xf>
    <xf borderId="1" fillId="2" fontId="6" numFmtId="0" xfId="0" applyAlignment="1" applyBorder="1" applyFill="1" applyFont="1">
      <alignment horizontal="right" shrinkToFit="0" wrapText="1"/>
    </xf>
    <xf borderId="1" fillId="0" fontId="7" numFmtId="0" xfId="0" applyAlignment="1" applyBorder="1" applyFont="1">
      <alignment readingOrder="0" shrinkToFit="0" wrapText="1"/>
    </xf>
    <xf borderId="1" fillId="0" fontId="6" numFmtId="0" xfId="0" applyAlignment="1" applyBorder="1" applyFont="1">
      <alignment horizontal="right" shrinkToFit="0" wrapText="1"/>
    </xf>
    <xf borderId="1" fillId="0" fontId="6" numFmtId="0" xfId="0" applyAlignment="1" applyBorder="1" applyFont="1">
      <alignment readingOrder="0" shrinkToFit="0" wrapText="1"/>
    </xf>
    <xf borderId="1" fillId="3" fontId="6" numFmtId="0" xfId="0" applyAlignment="1" applyBorder="1" applyFill="1" applyFont="1">
      <alignment horizontal="right" shrinkToFit="0" wrapText="1"/>
    </xf>
    <xf borderId="2" fillId="0" fontId="6" numFmtId="0" xfId="0" applyAlignment="1" applyBorder="1" applyFont="1">
      <alignment horizontal="left" shrinkToFit="0" wrapText="1"/>
    </xf>
    <xf borderId="3" fillId="0" fontId="8" numFmtId="0" xfId="0" applyBorder="1" applyFont="1"/>
    <xf borderId="4" fillId="0" fontId="8" numFmtId="0" xfId="0" applyBorder="1" applyFont="1"/>
    <xf borderId="1" fillId="3" fontId="6" numFmtId="0" xfId="0" applyAlignment="1" applyBorder="1" applyFill="1" applyFont="1">
      <alignment readingOrder="0" shrinkToFit="0" wrapText="1"/>
    </xf>
    <xf borderId="1" fillId="0" fontId="6" numFmtId="0" xfId="0" applyAlignment="1" applyBorder="1" applyFont="1">
      <alignment readingOrder="0" vertical="center"/>
    </xf>
    <xf borderId="5" fillId="0" fontId="6" numFmtId="0" xfId="0" applyAlignment="1" applyBorder="1" applyFont="1">
      <alignment shrinkToFit="0" wrapText="1"/>
    </xf>
    <xf borderId="6" fillId="0" fontId="9" numFmtId="0" xfId="0" applyAlignment="1" applyBorder="1" applyFont="1">
      <alignment horizontal="center" shrinkToFit="0" vertical="center" wrapText="1"/>
    </xf>
    <xf borderId="7" fillId="0" fontId="8" numFmtId="0" xfId="0" applyBorder="1" applyFont="1"/>
    <xf borderId="8" fillId="0" fontId="9" numFmtId="0" xfId="0" applyAlignment="1" applyBorder="1" applyFont="1">
      <alignment horizontal="center" shrinkToFit="0" vertical="center" wrapText="1"/>
    </xf>
    <xf borderId="9" fillId="0" fontId="6" numFmtId="0" xfId="0" applyAlignment="1" applyBorder="1" applyFont="1">
      <alignment shrinkToFit="0" vertical="center" wrapText="1"/>
    </xf>
    <xf borderId="10" fillId="0" fontId="9" numFmtId="0" xfId="0" applyAlignment="1" applyBorder="1" applyFont="1">
      <alignment horizontal="center" shrinkToFit="0" vertical="center" wrapText="1"/>
    </xf>
    <xf borderId="8" fillId="0" fontId="6" numFmtId="0" xfId="0" applyAlignment="1" applyBorder="1" applyFont="1">
      <alignment horizontal="center" shrinkToFit="0" vertical="center" wrapText="1"/>
    </xf>
    <xf borderId="8" fillId="0" fontId="6" numFmtId="0" xfId="0" applyAlignment="1" applyBorder="1" applyFont="1">
      <alignment horizontal="right" shrinkToFit="0" wrapText="1"/>
    </xf>
    <xf borderId="11" fillId="0" fontId="8" numFmtId="0" xfId="0" applyBorder="1" applyFont="1"/>
    <xf borderId="8" fillId="0" fontId="6" numFmtId="0" xfId="0" applyAlignment="1" applyBorder="1" applyFont="1">
      <alignment shrinkToFit="0" vertical="center" wrapText="1"/>
    </xf>
    <xf borderId="8" fillId="0" fontId="6"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ecoindex.fr/" TargetMode="External"/><Relationship Id="rId2" Type="http://schemas.openxmlformats.org/officeDocument/2006/relationships/hyperlink" Target="http://leboncoin.fr/" TargetMode="External"/><Relationship Id="rId3" Type="http://schemas.openxmlformats.org/officeDocument/2006/relationships/hyperlink" Target="http://amazon.com/"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3">
        <v>357.0</v>
      </c>
    </row>
    <row r="3">
      <c r="A3" s="1" t="s">
        <v>4</v>
      </c>
      <c r="B3" s="3">
        <v>142.0</v>
      </c>
    </row>
    <row r="4">
      <c r="A4" s="1" t="s">
        <v>5</v>
      </c>
      <c r="B4" s="3">
        <v>14.0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c r="B1" s="1" t="s">
        <v>6</v>
      </c>
      <c r="C1" s="1" t="s">
        <v>10</v>
      </c>
      <c r="D1" s="1" t="s">
        <v>12</v>
      </c>
      <c r="E1" s="1" t="s">
        <v>13</v>
      </c>
    </row>
    <row r="2">
      <c r="A2" s="1" t="s">
        <v>5</v>
      </c>
      <c r="B2" s="3">
        <v>13.0</v>
      </c>
      <c r="C2" s="3">
        <v>11.0</v>
      </c>
      <c r="D2" s="3">
        <v>1.0</v>
      </c>
      <c r="E2" s="3">
        <v>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c r="B1" s="1" t="s">
        <v>9</v>
      </c>
      <c r="C1" s="1" t="s">
        <v>13</v>
      </c>
    </row>
    <row r="2">
      <c r="A2" s="1" t="s">
        <v>5</v>
      </c>
      <c r="B2" s="3">
        <v>14.0</v>
      </c>
      <c r="C2" s="3">
        <v>4.0</v>
      </c>
    </row>
    <row r="4">
      <c r="D4" s="6"/>
    </row>
    <row r="9">
      <c r="E9"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c r="B1" s="5" t="s">
        <v>3</v>
      </c>
      <c r="C1" s="5" t="s">
        <v>7</v>
      </c>
      <c r="D1" s="5" t="s">
        <v>8</v>
      </c>
      <c r="E1" s="5" t="s">
        <v>11</v>
      </c>
      <c r="F1" s="5" t="s">
        <v>10</v>
      </c>
      <c r="G1" s="5" t="s">
        <v>14</v>
      </c>
      <c r="H1" s="5" t="s">
        <v>15</v>
      </c>
      <c r="I1" s="5" t="s">
        <v>16</v>
      </c>
      <c r="J1" s="5" t="s">
        <v>6</v>
      </c>
      <c r="K1" s="2"/>
      <c r="L1" s="5" t="s">
        <v>17</v>
      </c>
    </row>
    <row r="2">
      <c r="A2" s="5" t="s">
        <v>5</v>
      </c>
      <c r="B2" s="7">
        <v>17.0</v>
      </c>
      <c r="C2" s="7">
        <v>8.0</v>
      </c>
      <c r="D2" s="7">
        <v>48.0</v>
      </c>
      <c r="E2" s="7">
        <v>36.0</v>
      </c>
      <c r="F2" s="7">
        <v>84.0</v>
      </c>
      <c r="G2" s="7">
        <v>25.0</v>
      </c>
      <c r="H2" s="7">
        <v>390.0839</v>
      </c>
      <c r="I2" s="7">
        <v>38.25</v>
      </c>
      <c r="J2" s="7">
        <v>14920.71</v>
      </c>
      <c r="K2" s="2"/>
      <c r="L2" s="5" t="s">
        <v>18</v>
      </c>
    </row>
    <row r="3">
      <c r="A3" s="2"/>
      <c r="B3" s="2"/>
      <c r="C3" s="2"/>
      <c r="D3" s="2"/>
      <c r="E3" s="2"/>
      <c r="F3" s="2"/>
      <c r="G3" s="2"/>
      <c r="H3" s="2"/>
      <c r="I3" s="2"/>
      <c r="J3" s="2"/>
      <c r="K3" s="2"/>
      <c r="L3" s="5" t="s">
        <v>19</v>
      </c>
    </row>
    <row r="4">
      <c r="A4" s="5" t="s">
        <v>20</v>
      </c>
      <c r="B4" s="5" t="s">
        <v>21</v>
      </c>
      <c r="C4" s="2"/>
      <c r="D4" s="5" t="s">
        <v>22</v>
      </c>
      <c r="E4" s="5" t="s">
        <v>21</v>
      </c>
      <c r="F4" s="2"/>
      <c r="G4" s="2"/>
      <c r="H4" s="2"/>
      <c r="I4" s="2"/>
      <c r="J4" s="2"/>
      <c r="K4" s="2"/>
      <c r="L4" s="5" t="s">
        <v>23</v>
      </c>
    </row>
    <row r="5">
      <c r="A5" s="5" t="s">
        <v>24</v>
      </c>
      <c r="B5" s="7">
        <v>8.0</v>
      </c>
      <c r="C5" s="2"/>
      <c r="D5" s="5" t="s">
        <v>25</v>
      </c>
      <c r="E5" s="7">
        <v>7.0</v>
      </c>
      <c r="F5" s="2"/>
      <c r="G5" s="2"/>
      <c r="H5" s="2"/>
      <c r="I5" s="2"/>
      <c r="J5" s="2"/>
      <c r="K5" s="2"/>
      <c r="L5" s="5" t="s">
        <v>26</v>
      </c>
    </row>
    <row r="6">
      <c r="A6" s="5" t="s">
        <v>27</v>
      </c>
      <c r="B6" s="7">
        <v>9.0</v>
      </c>
      <c r="C6" s="2"/>
      <c r="D6" s="5" t="s">
        <v>28</v>
      </c>
      <c r="E6" s="7">
        <v>7.0</v>
      </c>
      <c r="F6" s="2"/>
      <c r="G6" s="2"/>
      <c r="H6" s="2"/>
      <c r="I6" s="2"/>
      <c r="J6" s="2"/>
      <c r="K6" s="2"/>
      <c r="L6" s="2"/>
    </row>
    <row r="7">
      <c r="A7" s="5" t="s">
        <v>29</v>
      </c>
      <c r="B7" s="7">
        <v>8.0</v>
      </c>
      <c r="C7" s="2"/>
      <c r="D7" s="5" t="s">
        <v>30</v>
      </c>
      <c r="E7" s="7">
        <v>6.0</v>
      </c>
      <c r="F7" s="2"/>
      <c r="G7" s="2"/>
      <c r="H7" s="2"/>
      <c r="I7" s="2"/>
      <c r="J7" s="2"/>
      <c r="K7" s="2"/>
      <c r="L7" s="2"/>
    </row>
    <row r="8">
      <c r="A8" s="5" t="s">
        <v>31</v>
      </c>
      <c r="B8" s="7">
        <v>3.0</v>
      </c>
      <c r="C8" s="2"/>
      <c r="D8" s="5" t="s">
        <v>14</v>
      </c>
      <c r="E8" s="7">
        <v>4.0</v>
      </c>
      <c r="F8" s="2"/>
      <c r="G8" s="2"/>
      <c r="H8" s="2"/>
      <c r="I8" s="2"/>
      <c r="J8" s="2"/>
      <c r="K8" s="2"/>
      <c r="L8" s="2"/>
    </row>
    <row r="9">
      <c r="A9" s="5" t="s">
        <v>32</v>
      </c>
      <c r="B9" s="7">
        <v>2.0</v>
      </c>
      <c r="C9" s="2"/>
      <c r="D9" s="5">
        <v>1.0</v>
      </c>
      <c r="E9" s="7">
        <v>4.0</v>
      </c>
      <c r="F9" s="2"/>
      <c r="G9" s="2"/>
      <c r="H9" s="2"/>
      <c r="I9" s="2"/>
      <c r="J9" s="2"/>
      <c r="K9" s="2"/>
      <c r="L9" s="2"/>
    </row>
    <row r="10">
      <c r="A10" s="5" t="s">
        <v>33</v>
      </c>
      <c r="B10" s="7">
        <v>2.0</v>
      </c>
      <c r="C10" s="2"/>
      <c r="D10" s="5" t="s">
        <v>34</v>
      </c>
      <c r="E10" s="7">
        <v>3.0</v>
      </c>
      <c r="F10" s="2"/>
      <c r="G10" s="2"/>
      <c r="H10" s="2"/>
      <c r="I10" s="2"/>
      <c r="J10" s="2"/>
      <c r="K10" s="2"/>
      <c r="L10" s="2"/>
    </row>
    <row r="11">
      <c r="A11" s="5" t="s">
        <v>35</v>
      </c>
      <c r="B11" s="7">
        <v>2.0</v>
      </c>
      <c r="C11" s="2"/>
      <c r="D11" s="5">
        <v>0.0</v>
      </c>
      <c r="E11" s="7">
        <v>3.0</v>
      </c>
      <c r="F11" s="2"/>
      <c r="G11" s="2"/>
      <c r="H11" s="2"/>
      <c r="I11" s="2"/>
      <c r="J11" s="2"/>
      <c r="K11" s="2"/>
      <c r="L11" s="2"/>
    </row>
    <row r="12">
      <c r="A12" s="5" t="s">
        <v>36</v>
      </c>
      <c r="B12" s="7">
        <v>2.0</v>
      </c>
      <c r="C12" s="2"/>
      <c r="D12" s="5" t="s">
        <v>37</v>
      </c>
      <c r="E12" s="7">
        <v>2.0</v>
      </c>
      <c r="F12" s="2"/>
      <c r="G12" s="2"/>
      <c r="H12" s="2"/>
      <c r="I12" s="2"/>
      <c r="J12" s="2"/>
      <c r="K12" s="2"/>
      <c r="L12" s="2"/>
    </row>
    <row r="13">
      <c r="A13" s="5" t="s">
        <v>38</v>
      </c>
      <c r="B13" s="7">
        <v>2.0</v>
      </c>
      <c r="C13" s="2"/>
      <c r="D13" s="2"/>
      <c r="E13" s="2"/>
      <c r="F13" s="2"/>
      <c r="G13" s="2"/>
      <c r="H13" s="2"/>
      <c r="I13" s="2"/>
      <c r="J13" s="2"/>
      <c r="K13" s="2"/>
      <c r="L13" s="2"/>
    </row>
    <row r="14">
      <c r="A14" s="5" t="s">
        <v>39</v>
      </c>
      <c r="B14" s="7">
        <v>2.0</v>
      </c>
      <c r="C14" s="2"/>
      <c r="D14" s="2"/>
      <c r="E14" s="2"/>
      <c r="F14" s="2"/>
      <c r="G14" s="2"/>
      <c r="H14" s="2"/>
      <c r="I14" s="2"/>
      <c r="J14" s="2"/>
      <c r="K14" s="2"/>
      <c r="L14" s="2"/>
    </row>
    <row r="15">
      <c r="A15" s="5" t="s">
        <v>40</v>
      </c>
      <c r="B15" s="7">
        <v>2.0</v>
      </c>
      <c r="C15" s="2"/>
      <c r="D15" s="2"/>
      <c r="E15" s="2"/>
      <c r="F15" s="2"/>
      <c r="G15" s="2"/>
      <c r="H15" s="2"/>
      <c r="I15" s="2"/>
      <c r="J15" s="2"/>
      <c r="K15" s="2"/>
      <c r="L15" s="2"/>
    </row>
    <row r="16">
      <c r="A16" s="5" t="s">
        <v>41</v>
      </c>
      <c r="B16" s="7">
        <v>1.0</v>
      </c>
      <c r="C16" s="2"/>
      <c r="D16" s="2"/>
      <c r="E16" s="2"/>
      <c r="F16" s="2"/>
      <c r="G16" s="2"/>
      <c r="H16" s="2"/>
      <c r="I16" s="2"/>
      <c r="J16" s="2"/>
      <c r="K16" s="2"/>
      <c r="L16" s="2"/>
    </row>
    <row r="17">
      <c r="A17" s="5" t="s">
        <v>42</v>
      </c>
      <c r="B17" s="7">
        <v>1.0</v>
      </c>
      <c r="C17" s="2"/>
      <c r="D17" s="2"/>
      <c r="E17" s="2"/>
      <c r="F17" s="2"/>
      <c r="G17" s="2"/>
      <c r="H17" s="2"/>
      <c r="I17" s="2"/>
      <c r="J17" s="2"/>
      <c r="K17" s="2"/>
      <c r="L17" s="2"/>
    </row>
    <row r="18">
      <c r="A18" s="5" t="s">
        <v>43</v>
      </c>
      <c r="B18" s="7">
        <v>1.0</v>
      </c>
      <c r="C18" s="2"/>
      <c r="D18" s="2"/>
      <c r="E18" s="2"/>
      <c r="F18" s="2"/>
      <c r="G18" s="2"/>
      <c r="H18" s="2"/>
      <c r="I18" s="2"/>
      <c r="J18" s="2"/>
      <c r="K18" s="2"/>
      <c r="L18" s="2"/>
    </row>
    <row r="19">
      <c r="A19" s="5" t="s">
        <v>44</v>
      </c>
      <c r="B19" s="7">
        <v>1.0</v>
      </c>
      <c r="C19" s="2"/>
      <c r="D19" s="2"/>
      <c r="E19" s="2"/>
      <c r="F19" s="2"/>
      <c r="G19" s="2"/>
      <c r="H19" s="2"/>
      <c r="I19" s="2"/>
      <c r="J19" s="2"/>
      <c r="K19" s="2"/>
      <c r="L19" s="2"/>
    </row>
    <row r="20">
      <c r="A20" s="5" t="s">
        <v>45</v>
      </c>
      <c r="B20" s="7">
        <v>1.0</v>
      </c>
      <c r="C20" s="2"/>
      <c r="D20" s="2"/>
      <c r="E20" s="2"/>
      <c r="F20" s="2"/>
      <c r="G20" s="2"/>
      <c r="H20" s="2"/>
      <c r="I20" s="2"/>
      <c r="J20" s="2"/>
      <c r="K20" s="2"/>
      <c r="L20" s="2"/>
    </row>
    <row r="21">
      <c r="A21" s="5" t="s">
        <v>46</v>
      </c>
      <c r="B21" s="7">
        <v>1.0</v>
      </c>
      <c r="C21" s="2"/>
      <c r="D21" s="2"/>
      <c r="E21" s="2"/>
      <c r="F21" s="2"/>
      <c r="G21" s="2"/>
      <c r="H21" s="2"/>
      <c r="I21" s="2"/>
      <c r="J21" s="2"/>
      <c r="K21" s="2"/>
      <c r="L21"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6.13"/>
    <col customWidth="1" min="3" max="3" width="6.0"/>
    <col customWidth="1" min="4" max="4" width="6.38"/>
    <col customWidth="1" min="5" max="6" width="6.13"/>
    <col customWidth="1" min="7" max="7" width="6.38"/>
    <col customWidth="1" min="8" max="8" width="8.5"/>
    <col customWidth="1" min="9" max="9" width="12.88"/>
    <col customWidth="1" min="11" max="11" width="66.25"/>
  </cols>
  <sheetData>
    <row r="1">
      <c r="A1" s="8"/>
      <c r="B1" s="8"/>
      <c r="C1" s="9" t="s">
        <v>47</v>
      </c>
      <c r="D1" s="8"/>
      <c r="E1" s="8"/>
      <c r="F1" s="9" t="s">
        <v>48</v>
      </c>
      <c r="G1" s="8"/>
      <c r="H1" s="8"/>
      <c r="I1" s="8"/>
      <c r="J1" s="8"/>
      <c r="K1" s="8"/>
    </row>
    <row r="2">
      <c r="A2" s="9" t="s">
        <v>49</v>
      </c>
      <c r="B2" s="9" t="s">
        <v>50</v>
      </c>
      <c r="C2" s="9" t="s">
        <v>51</v>
      </c>
      <c r="D2" s="9" t="s">
        <v>52</v>
      </c>
      <c r="E2" s="9" t="s">
        <v>50</v>
      </c>
      <c r="F2" s="9" t="s">
        <v>51</v>
      </c>
      <c r="G2" s="9" t="s">
        <v>52</v>
      </c>
      <c r="H2" s="9" t="s">
        <v>53</v>
      </c>
      <c r="I2" s="9" t="s">
        <v>54</v>
      </c>
      <c r="J2" s="8"/>
      <c r="K2" s="10"/>
    </row>
    <row r="3">
      <c r="A3" s="9" t="s">
        <v>55</v>
      </c>
      <c r="B3" s="11">
        <v>3.0</v>
      </c>
      <c r="C3" s="11">
        <v>4.0</v>
      </c>
      <c r="D3" s="11">
        <v>6.0</v>
      </c>
      <c r="E3" s="11">
        <v>4.0</v>
      </c>
      <c r="F3" s="11">
        <v>3.0</v>
      </c>
      <c r="G3" s="11">
        <v>1.0</v>
      </c>
      <c r="H3" s="11">
        <v>30.0</v>
      </c>
      <c r="I3" s="11">
        <v>144.0</v>
      </c>
      <c r="J3" s="8"/>
      <c r="K3" s="10"/>
    </row>
    <row r="4">
      <c r="A4" s="9" t="s">
        <v>56</v>
      </c>
      <c r="B4" s="11">
        <v>4.0</v>
      </c>
      <c r="C4" s="11">
        <v>5.0</v>
      </c>
      <c r="D4" s="11">
        <v>7.0</v>
      </c>
      <c r="E4" s="11">
        <v>0.0</v>
      </c>
      <c r="F4" s="11">
        <v>2.0</v>
      </c>
      <c r="G4" s="11">
        <v>1.0</v>
      </c>
      <c r="H4" s="11">
        <v>17.0</v>
      </c>
      <c r="I4" s="8"/>
      <c r="J4" s="8"/>
      <c r="K4" s="10"/>
    </row>
    <row r="5">
      <c r="A5" s="9" t="s">
        <v>57</v>
      </c>
      <c r="B5" s="11">
        <v>3.0</v>
      </c>
      <c r="C5" s="11">
        <v>4.0</v>
      </c>
      <c r="D5" s="11">
        <v>6.0</v>
      </c>
      <c r="E5" s="11">
        <v>7.0</v>
      </c>
      <c r="F5" s="11">
        <v>0.0</v>
      </c>
      <c r="G5" s="11">
        <v>0.0</v>
      </c>
      <c r="H5" s="11">
        <v>21.0</v>
      </c>
      <c r="I5" s="8"/>
      <c r="J5" s="8"/>
      <c r="K5" s="8"/>
    </row>
    <row r="6">
      <c r="A6" s="9" t="s">
        <v>58</v>
      </c>
      <c r="B6" s="11">
        <v>7.0</v>
      </c>
      <c r="C6" s="11">
        <v>10.0</v>
      </c>
      <c r="D6" s="11">
        <v>15.0</v>
      </c>
      <c r="E6" s="11">
        <v>3.0</v>
      </c>
      <c r="F6" s="11">
        <v>0.0</v>
      </c>
      <c r="G6" s="11">
        <v>0.0</v>
      </c>
      <c r="H6" s="11">
        <v>21.0</v>
      </c>
      <c r="I6" s="8"/>
      <c r="J6" s="8"/>
      <c r="K6" s="10"/>
    </row>
    <row r="7">
      <c r="A7" s="9" t="s">
        <v>59</v>
      </c>
      <c r="B7" s="11">
        <v>5.0</v>
      </c>
      <c r="C7" s="11">
        <v>7.0</v>
      </c>
      <c r="D7" s="11">
        <v>10.0</v>
      </c>
      <c r="E7" s="11">
        <v>0.0</v>
      </c>
      <c r="F7" s="11">
        <v>5.0</v>
      </c>
      <c r="G7" s="11">
        <v>2.0</v>
      </c>
      <c r="H7" s="11">
        <v>55.0</v>
      </c>
      <c r="I7" s="8"/>
      <c r="J7" s="8"/>
      <c r="K7" s="8"/>
    </row>
    <row r="8">
      <c r="A8" s="8"/>
      <c r="B8" s="8"/>
      <c r="C8" s="8"/>
      <c r="D8" s="8"/>
      <c r="E8" s="8"/>
      <c r="F8" s="8"/>
      <c r="G8" s="8"/>
      <c r="H8" s="8"/>
      <c r="I8" s="8"/>
      <c r="J8" s="8"/>
      <c r="K8" s="10"/>
    </row>
    <row r="9">
      <c r="A9" s="8"/>
      <c r="B9" s="8"/>
      <c r="C9" s="8"/>
      <c r="D9" s="8"/>
      <c r="E9" s="8"/>
      <c r="F9" s="8"/>
      <c r="G9" s="8"/>
      <c r="H9" s="8"/>
      <c r="I9" s="8"/>
      <c r="J9" s="8"/>
      <c r="K9" s="10"/>
    </row>
    <row r="10">
      <c r="A10" s="8"/>
      <c r="B10" s="8"/>
      <c r="C10" s="8"/>
      <c r="D10" s="8"/>
      <c r="E10" s="8"/>
      <c r="F10" s="8"/>
      <c r="G10" s="8"/>
      <c r="H10" s="8"/>
      <c r="I10" s="8"/>
      <c r="J10" s="8"/>
      <c r="K10" s="10"/>
    </row>
    <row r="11">
      <c r="A11" s="8"/>
      <c r="B11" s="8"/>
      <c r="C11" s="8"/>
      <c r="D11" s="8"/>
      <c r="E11" s="8"/>
      <c r="F11" s="8"/>
      <c r="G11" s="8"/>
      <c r="H11" s="8"/>
      <c r="I11" s="8"/>
      <c r="J11" s="8"/>
      <c r="K11" s="10"/>
    </row>
    <row r="12">
      <c r="A12" s="8"/>
      <c r="B12" s="8"/>
      <c r="C12" s="8"/>
      <c r="D12" s="8"/>
      <c r="E12" s="8"/>
      <c r="F12" s="8"/>
      <c r="G12" s="8"/>
      <c r="H12" s="8"/>
      <c r="I12" s="8"/>
      <c r="J12" s="8"/>
      <c r="K12" s="10"/>
    </row>
    <row r="13">
      <c r="A13" s="8"/>
      <c r="B13" s="8"/>
      <c r="C13" s="8"/>
      <c r="D13" s="8"/>
      <c r="E13" s="8"/>
      <c r="F13" s="8"/>
      <c r="G13" s="8"/>
      <c r="H13" s="8"/>
      <c r="I13" s="8"/>
      <c r="J13" s="8"/>
      <c r="K13" s="10"/>
    </row>
    <row r="14">
      <c r="A14" s="8"/>
      <c r="B14" s="8"/>
      <c r="C14" s="8"/>
      <c r="D14" s="8"/>
      <c r="E14" s="8"/>
      <c r="F14" s="8"/>
      <c r="G14" s="8"/>
      <c r="H14" s="8"/>
      <c r="I14" s="8"/>
      <c r="J14" s="8"/>
      <c r="K14" s="8"/>
    </row>
    <row r="15">
      <c r="A15" s="8"/>
      <c r="B15" s="8"/>
      <c r="C15" s="8"/>
      <c r="D15" s="8"/>
      <c r="E15" s="8"/>
      <c r="F15" s="8"/>
      <c r="G15" s="8"/>
      <c r="H15" s="8"/>
      <c r="I15" s="8"/>
      <c r="J15" s="8"/>
      <c r="K15" s="1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6.13"/>
    <col customWidth="1" min="3" max="3" width="6.0"/>
    <col customWidth="1" min="4" max="4" width="6.38"/>
    <col customWidth="1" min="5" max="6" width="6.13"/>
    <col customWidth="1" min="7" max="7" width="6.38"/>
    <col customWidth="1" min="8" max="8" width="8.5"/>
    <col customWidth="1" min="9" max="9" width="12.88"/>
    <col customWidth="1" min="11" max="11" width="66.25"/>
  </cols>
  <sheetData>
    <row r="1">
      <c r="A1" s="8"/>
      <c r="B1" s="8"/>
      <c r="C1" s="9" t="s">
        <v>47</v>
      </c>
      <c r="D1" s="8"/>
      <c r="E1" s="8"/>
      <c r="F1" s="9" t="s">
        <v>48</v>
      </c>
      <c r="G1" s="8"/>
      <c r="H1" s="8"/>
      <c r="I1" s="8"/>
      <c r="J1" s="8"/>
      <c r="K1" s="8"/>
    </row>
    <row r="2">
      <c r="A2" s="9" t="s">
        <v>49</v>
      </c>
      <c r="B2" s="9" t="s">
        <v>50</v>
      </c>
      <c r="C2" s="9" t="s">
        <v>51</v>
      </c>
      <c r="D2" s="9" t="s">
        <v>52</v>
      </c>
      <c r="E2" s="9" t="s">
        <v>50</v>
      </c>
      <c r="F2" s="9" t="s">
        <v>51</v>
      </c>
      <c r="G2" s="9" t="s">
        <v>52</v>
      </c>
      <c r="H2" s="9" t="s">
        <v>53</v>
      </c>
      <c r="I2" s="9" t="s">
        <v>54</v>
      </c>
    </row>
    <row r="3">
      <c r="A3" s="9" t="s">
        <v>55</v>
      </c>
      <c r="B3" s="11">
        <v>3.0</v>
      </c>
      <c r="C3" s="11">
        <v>4.0</v>
      </c>
      <c r="D3" s="11">
        <v>6.0</v>
      </c>
      <c r="E3" s="11">
        <v>2.0</v>
      </c>
      <c r="F3" s="11">
        <v>0.0</v>
      </c>
      <c r="G3" s="11">
        <v>0.0</v>
      </c>
      <c r="H3" s="11">
        <v>6.0</v>
      </c>
      <c r="I3" s="11">
        <v>13.0</v>
      </c>
      <c r="J3" s="8"/>
    </row>
    <row r="4">
      <c r="A4" s="9" t="s">
        <v>56</v>
      </c>
      <c r="B4" s="11">
        <v>4.0</v>
      </c>
      <c r="C4" s="11">
        <v>5.0</v>
      </c>
      <c r="D4" s="11">
        <v>7.0</v>
      </c>
      <c r="E4" s="11">
        <v>1.0</v>
      </c>
      <c r="F4" s="11">
        <v>0.0</v>
      </c>
      <c r="G4" s="11">
        <v>0.0</v>
      </c>
      <c r="H4" s="11">
        <v>4.0</v>
      </c>
      <c r="I4" s="8"/>
      <c r="J4" s="8"/>
    </row>
    <row r="5">
      <c r="A5" s="9" t="s">
        <v>57</v>
      </c>
      <c r="B5" s="11">
        <v>3.0</v>
      </c>
      <c r="C5" s="11">
        <v>4.0</v>
      </c>
      <c r="D5" s="11">
        <v>6.0</v>
      </c>
      <c r="E5" s="11">
        <v>1.0</v>
      </c>
      <c r="F5" s="11">
        <v>0.0</v>
      </c>
      <c r="G5" s="11">
        <v>0.0</v>
      </c>
      <c r="H5" s="11">
        <v>3.0</v>
      </c>
      <c r="I5" s="8"/>
      <c r="J5" s="8"/>
    </row>
    <row r="6">
      <c r="A6" s="9" t="s">
        <v>58</v>
      </c>
      <c r="B6" s="11">
        <v>7.0</v>
      </c>
      <c r="C6" s="11">
        <v>10.0</v>
      </c>
      <c r="D6" s="11">
        <v>15.0</v>
      </c>
      <c r="E6" s="11">
        <v>0.0</v>
      </c>
      <c r="F6" s="11">
        <v>0.0</v>
      </c>
      <c r="G6" s="11">
        <v>0.0</v>
      </c>
      <c r="H6" s="11">
        <v>0.0</v>
      </c>
      <c r="I6" s="8"/>
      <c r="J6" s="8"/>
    </row>
    <row r="7">
      <c r="A7" s="9" t="s">
        <v>59</v>
      </c>
      <c r="B7" s="11">
        <v>5.0</v>
      </c>
      <c r="C7" s="11">
        <v>7.0</v>
      </c>
      <c r="D7" s="11">
        <v>10.0</v>
      </c>
      <c r="E7" s="11">
        <v>0.0</v>
      </c>
      <c r="F7" s="11">
        <v>0.0</v>
      </c>
      <c r="G7" s="11">
        <v>0.0</v>
      </c>
      <c r="H7" s="11">
        <v>0.0</v>
      </c>
      <c r="I7" s="8"/>
      <c r="J7" s="8"/>
    </row>
    <row r="8">
      <c r="A8" s="8"/>
      <c r="B8" s="8"/>
      <c r="C8" s="8"/>
      <c r="D8" s="8"/>
      <c r="E8" s="8"/>
      <c r="F8" s="8"/>
      <c r="G8" s="8"/>
      <c r="H8" s="8"/>
      <c r="I8" s="8"/>
      <c r="J8" s="8"/>
    </row>
    <row r="9">
      <c r="A9" s="8"/>
      <c r="B9" s="8"/>
      <c r="C9" s="8"/>
      <c r="D9" s="8"/>
      <c r="E9" s="8"/>
      <c r="F9" s="8"/>
      <c r="G9" s="8"/>
      <c r="H9" s="8"/>
      <c r="I9" s="8"/>
      <c r="J9" s="8"/>
    </row>
    <row r="10">
      <c r="A10" s="8"/>
      <c r="B10" s="8"/>
      <c r="C10" s="8"/>
      <c r="D10" s="8"/>
      <c r="E10" s="8"/>
      <c r="F10" s="8"/>
      <c r="G10" s="8"/>
      <c r="H10" s="8"/>
      <c r="I10" s="8"/>
      <c r="J10" s="8"/>
    </row>
    <row r="11">
      <c r="A11" s="8"/>
      <c r="B11" s="8"/>
      <c r="C11" s="8"/>
      <c r="D11" s="8"/>
      <c r="E11" s="8"/>
      <c r="F11" s="8"/>
      <c r="G11" s="8"/>
      <c r="H11" s="8"/>
      <c r="I11" s="8"/>
      <c r="J11" s="8"/>
    </row>
    <row r="12">
      <c r="A12" s="8"/>
      <c r="B12" s="8"/>
      <c r="C12" s="8"/>
      <c r="D12" s="8"/>
      <c r="E12" s="8"/>
      <c r="F12" s="8"/>
      <c r="G12" s="8"/>
      <c r="H12" s="8"/>
      <c r="I12" s="8"/>
      <c r="J12" s="8"/>
    </row>
    <row r="13">
      <c r="A13" s="8"/>
      <c r="B13" s="8"/>
      <c r="C13" s="8"/>
      <c r="D13" s="8"/>
      <c r="E13" s="8"/>
      <c r="F13" s="8"/>
      <c r="G13" s="8"/>
      <c r="H13" s="8"/>
      <c r="I13" s="8"/>
      <c r="J13" s="8"/>
    </row>
    <row r="14">
      <c r="A14" s="8"/>
      <c r="B14" s="8"/>
      <c r="C14" s="8"/>
      <c r="D14" s="8"/>
      <c r="E14" s="8"/>
      <c r="F14" s="8"/>
      <c r="G14" s="8"/>
      <c r="H14" s="8"/>
      <c r="I14" s="8"/>
      <c r="J14" s="8"/>
    </row>
    <row r="15">
      <c r="A15" s="8"/>
      <c r="B15" s="8"/>
      <c r="C15" s="8"/>
      <c r="D15" s="8"/>
      <c r="E15" s="8"/>
      <c r="F15" s="8"/>
      <c r="G15" s="8"/>
      <c r="H15" s="8"/>
      <c r="I15" s="8"/>
      <c r="J15" s="8"/>
    </row>
  </sheetData>
  <mergeCells count="1">
    <mergeCell ref="I2:J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4.38"/>
    <col customWidth="1" min="11" max="11" width="164.0"/>
  </cols>
  <sheetData>
    <row r="1">
      <c r="A1" s="12" t="s">
        <v>49</v>
      </c>
      <c r="B1" s="12" t="s">
        <v>60</v>
      </c>
      <c r="C1" s="12" t="s">
        <v>61</v>
      </c>
      <c r="D1" s="12" t="s">
        <v>62</v>
      </c>
      <c r="E1" s="12" t="s">
        <v>63</v>
      </c>
      <c r="F1" s="12" t="s">
        <v>64</v>
      </c>
      <c r="G1" s="12" t="s">
        <v>65</v>
      </c>
      <c r="H1" s="12" t="s">
        <v>53</v>
      </c>
      <c r="I1" s="12" t="s">
        <v>66</v>
      </c>
      <c r="J1" s="12" t="s">
        <v>67</v>
      </c>
      <c r="K1" s="12" t="s">
        <v>68</v>
      </c>
    </row>
    <row r="2">
      <c r="A2" s="12" t="s">
        <v>55</v>
      </c>
      <c r="B2" s="13">
        <v>3.0</v>
      </c>
      <c r="C2" s="13">
        <v>4.0</v>
      </c>
      <c r="D2" s="13">
        <v>6.0</v>
      </c>
      <c r="E2" s="13">
        <v>23.0</v>
      </c>
      <c r="F2" s="13">
        <v>12.0</v>
      </c>
      <c r="G2" s="13">
        <v>2.0</v>
      </c>
      <c r="H2" s="13">
        <v>129.0</v>
      </c>
      <c r="I2" s="13">
        <v>410.0</v>
      </c>
      <c r="J2" s="12" t="s">
        <v>69</v>
      </c>
      <c r="K2" s="12" t="s">
        <v>70</v>
      </c>
    </row>
    <row r="3">
      <c r="A3" s="12" t="s">
        <v>56</v>
      </c>
      <c r="B3" s="13">
        <v>4.0</v>
      </c>
      <c r="C3" s="13">
        <v>5.0</v>
      </c>
      <c r="D3" s="13">
        <v>7.0</v>
      </c>
      <c r="E3" s="13">
        <v>12.0</v>
      </c>
      <c r="F3" s="13">
        <v>11.0</v>
      </c>
      <c r="G3" s="13">
        <v>2.0</v>
      </c>
      <c r="H3" s="13">
        <v>117.0</v>
      </c>
      <c r="I3" s="14"/>
      <c r="J3" s="12" t="s">
        <v>71</v>
      </c>
    </row>
    <row r="4">
      <c r="A4" s="12" t="s">
        <v>57</v>
      </c>
      <c r="B4" s="13">
        <v>3.0</v>
      </c>
      <c r="C4" s="13">
        <v>4.0</v>
      </c>
      <c r="D4" s="13">
        <v>6.0</v>
      </c>
      <c r="E4" s="13">
        <v>8.0</v>
      </c>
      <c r="F4" s="13">
        <v>0.0</v>
      </c>
      <c r="G4" s="13">
        <v>0.0</v>
      </c>
      <c r="H4" s="13">
        <v>24.0</v>
      </c>
      <c r="I4" s="14"/>
      <c r="J4" s="12" t="s">
        <v>72</v>
      </c>
    </row>
    <row r="5">
      <c r="A5" s="12" t="s">
        <v>58</v>
      </c>
      <c r="B5" s="13">
        <v>7.0</v>
      </c>
      <c r="C5" s="13">
        <v>10.0</v>
      </c>
      <c r="D5" s="13">
        <v>15.0</v>
      </c>
      <c r="E5" s="13">
        <v>4.0</v>
      </c>
      <c r="F5" s="13">
        <v>0.0</v>
      </c>
      <c r="G5" s="13">
        <v>0.0</v>
      </c>
      <c r="H5" s="13">
        <v>28.0</v>
      </c>
      <c r="I5" s="14"/>
      <c r="J5" s="12" t="s">
        <v>73</v>
      </c>
    </row>
    <row r="6">
      <c r="A6" s="12" t="s">
        <v>59</v>
      </c>
      <c r="B6" s="13">
        <v>5.0</v>
      </c>
      <c r="C6" s="13">
        <v>7.0</v>
      </c>
      <c r="D6" s="13">
        <v>10.0</v>
      </c>
      <c r="E6" s="13">
        <v>12.0</v>
      </c>
      <c r="F6" s="13">
        <v>6.0</v>
      </c>
      <c r="G6" s="13">
        <v>1.0</v>
      </c>
      <c r="H6" s="13">
        <v>112.0</v>
      </c>
      <c r="I6" s="14"/>
      <c r="J6" s="12" t="s">
        <v>74</v>
      </c>
    </row>
    <row r="7">
      <c r="A7" s="14"/>
      <c r="B7" s="14"/>
      <c r="C7" s="14"/>
      <c r="D7" s="14"/>
      <c r="E7" s="14"/>
      <c r="F7" s="14"/>
      <c r="G7" s="14"/>
      <c r="H7" s="14"/>
      <c r="I7" s="14"/>
      <c r="J7" s="14"/>
      <c r="K7" s="14"/>
    </row>
    <row r="8">
      <c r="A8" s="12" t="s">
        <v>75</v>
      </c>
    </row>
    <row r="9">
      <c r="A9" s="14"/>
      <c r="B9" s="14"/>
      <c r="C9" s="14"/>
      <c r="D9" s="14"/>
      <c r="E9" s="14"/>
      <c r="F9" s="14"/>
      <c r="G9" s="14"/>
      <c r="H9" s="14"/>
      <c r="I9" s="14"/>
      <c r="J9" s="14"/>
      <c r="K9" s="14"/>
    </row>
    <row r="10">
      <c r="A10" s="12" t="s">
        <v>76</v>
      </c>
      <c r="E10" s="14"/>
      <c r="F10" s="14"/>
      <c r="G10" s="14"/>
      <c r="H10" s="14"/>
      <c r="I10" s="14"/>
      <c r="J10" s="14"/>
      <c r="K10" s="14"/>
    </row>
    <row r="11">
      <c r="A11" s="12" t="s">
        <v>77</v>
      </c>
    </row>
    <row r="12">
      <c r="A12" s="12" t="s">
        <v>78</v>
      </c>
    </row>
    <row r="13">
      <c r="A13" s="12" t="s">
        <v>79</v>
      </c>
      <c r="G13" s="14"/>
      <c r="H13" s="14"/>
      <c r="I13" s="14"/>
      <c r="J13" s="14"/>
      <c r="K13" s="14"/>
    </row>
    <row r="14">
      <c r="A14" s="14"/>
      <c r="B14" s="14"/>
      <c r="C14" s="14"/>
      <c r="D14" s="14"/>
      <c r="E14" s="14"/>
      <c r="F14" s="14"/>
      <c r="G14" s="14"/>
      <c r="H14" s="14"/>
      <c r="I14" s="14"/>
      <c r="J14" s="14"/>
      <c r="K14" s="14"/>
    </row>
    <row r="15">
      <c r="A15" s="12" t="s">
        <v>80</v>
      </c>
      <c r="G15" s="14"/>
      <c r="H15" s="14"/>
      <c r="I15" s="14"/>
      <c r="J15" s="14"/>
      <c r="K15" s="14"/>
    </row>
    <row r="16">
      <c r="A16" s="12" t="s">
        <v>81</v>
      </c>
    </row>
    <row r="17">
      <c r="A17" s="12" t="s">
        <v>82</v>
      </c>
    </row>
    <row r="18">
      <c r="A18" s="12" t="s">
        <v>83</v>
      </c>
    </row>
    <row r="19">
      <c r="A19" s="14"/>
      <c r="B19" s="14"/>
      <c r="C19" s="14"/>
      <c r="D19" s="14"/>
      <c r="E19" s="14"/>
      <c r="F19" s="14"/>
      <c r="G19" s="14"/>
      <c r="H19" s="14"/>
      <c r="I19" s="14"/>
      <c r="J19" s="14"/>
      <c r="K19" s="14"/>
    </row>
    <row r="20">
      <c r="A20" s="12" t="s">
        <v>84</v>
      </c>
      <c r="G20" s="14"/>
      <c r="H20" s="14"/>
      <c r="I20" s="14"/>
      <c r="J20" s="14"/>
      <c r="K20" s="14"/>
    </row>
    <row r="21">
      <c r="A21" s="12" t="s">
        <v>85</v>
      </c>
    </row>
    <row r="22">
      <c r="A22" s="14"/>
      <c r="B22" s="14"/>
      <c r="C22" s="14"/>
      <c r="D22" s="14"/>
      <c r="E22" s="14"/>
      <c r="F22" s="14"/>
      <c r="G22" s="14"/>
      <c r="H22" s="14"/>
      <c r="I22" s="14"/>
      <c r="J22" s="14"/>
      <c r="K22" s="14"/>
    </row>
    <row r="23">
      <c r="A23" s="12" t="s">
        <v>86</v>
      </c>
      <c r="F23" s="14"/>
      <c r="G23" s="14"/>
      <c r="H23" s="14"/>
      <c r="I23" s="14"/>
      <c r="J23" s="14"/>
      <c r="K23" s="14"/>
    </row>
    <row r="24">
      <c r="A24" s="12" t="s">
        <v>87</v>
      </c>
      <c r="J24" s="14"/>
      <c r="K24" s="14"/>
    </row>
    <row r="25">
      <c r="A25" s="14"/>
      <c r="B25" s="14"/>
      <c r="C25" s="14"/>
      <c r="D25" s="14"/>
      <c r="E25" s="14"/>
      <c r="F25" s="14"/>
      <c r="G25" s="14"/>
      <c r="H25" s="14"/>
      <c r="I25" s="14"/>
      <c r="J25" s="14"/>
      <c r="K25" s="14"/>
    </row>
    <row r="26">
      <c r="A26" s="12" t="s">
        <v>88</v>
      </c>
      <c r="G26" s="14"/>
      <c r="H26" s="14"/>
      <c r="I26" s="14"/>
      <c r="J26" s="14"/>
      <c r="K26" s="14"/>
    </row>
    <row r="27">
      <c r="A27" s="12" t="s">
        <v>89</v>
      </c>
    </row>
    <row r="28">
      <c r="A28" s="12" t="s">
        <v>90</v>
      </c>
      <c r="K28" s="14"/>
    </row>
    <row r="29">
      <c r="A29" s="12" t="s">
        <v>91</v>
      </c>
      <c r="H29" s="14"/>
      <c r="I29" s="14"/>
      <c r="J29" s="14"/>
      <c r="K29" s="14"/>
    </row>
  </sheetData>
  <mergeCells count="21">
    <mergeCell ref="J3:K3"/>
    <mergeCell ref="J4:K4"/>
    <mergeCell ref="J5:K5"/>
    <mergeCell ref="J6:K6"/>
    <mergeCell ref="A8:K8"/>
    <mergeCell ref="A10:D10"/>
    <mergeCell ref="A11:K11"/>
    <mergeCell ref="A20:F20"/>
    <mergeCell ref="A23:E23"/>
    <mergeCell ref="A24:I24"/>
    <mergeCell ref="A26:F26"/>
    <mergeCell ref="A27:K27"/>
    <mergeCell ref="A28:J28"/>
    <mergeCell ref="A29:G29"/>
    <mergeCell ref="A12:K12"/>
    <mergeCell ref="A13:F13"/>
    <mergeCell ref="A15:F15"/>
    <mergeCell ref="A16:K16"/>
    <mergeCell ref="A17:K17"/>
    <mergeCell ref="A18:K18"/>
    <mergeCell ref="A21:K2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35.63"/>
  </cols>
  <sheetData>
    <row r="1">
      <c r="A1" s="14"/>
      <c r="B1" s="12" t="s">
        <v>92</v>
      </c>
      <c r="C1" s="12" t="s">
        <v>13</v>
      </c>
      <c r="D1" s="12" t="s">
        <v>9</v>
      </c>
      <c r="E1" s="12" t="s">
        <v>93</v>
      </c>
      <c r="F1" s="12" t="s">
        <v>94</v>
      </c>
      <c r="G1" s="12" t="s">
        <v>95</v>
      </c>
    </row>
    <row r="2">
      <c r="A2" s="12" t="s">
        <v>5</v>
      </c>
      <c r="B2" s="13">
        <v>390.0839</v>
      </c>
      <c r="C2" s="13">
        <v>4.0</v>
      </c>
      <c r="D2" s="13">
        <v>14.0</v>
      </c>
      <c r="E2" s="13">
        <v>96.30219</v>
      </c>
      <c r="F2" s="12" t="s">
        <v>96</v>
      </c>
    </row>
  </sheetData>
  <mergeCells count="1">
    <mergeCell ref="F2:G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63"/>
    <col customWidth="1" min="3" max="3" width="26.25"/>
    <col customWidth="1" min="5" max="5" width="57.75"/>
    <col customWidth="1" min="6" max="6" width="67.88"/>
  </cols>
  <sheetData>
    <row r="1">
      <c r="A1" s="12" t="s">
        <v>97</v>
      </c>
      <c r="B1" s="12" t="s">
        <v>98</v>
      </c>
      <c r="C1" s="12" t="s">
        <v>99</v>
      </c>
      <c r="D1" s="12" t="s">
        <v>100</v>
      </c>
      <c r="E1" s="12" t="s">
        <v>101</v>
      </c>
      <c r="F1" s="12" t="s">
        <v>102</v>
      </c>
    </row>
    <row r="2">
      <c r="A2" s="13">
        <v>1.0</v>
      </c>
      <c r="B2" s="12" t="s">
        <v>103</v>
      </c>
      <c r="C2" s="13">
        <v>3.0</v>
      </c>
      <c r="D2" s="13">
        <v>1.12</v>
      </c>
      <c r="E2" s="12" t="s">
        <v>104</v>
      </c>
      <c r="F2" s="12" t="s">
        <v>105</v>
      </c>
    </row>
    <row r="3">
      <c r="A3" s="13">
        <v>2.0</v>
      </c>
      <c r="B3" s="12" t="s">
        <v>106</v>
      </c>
      <c r="C3" s="13">
        <v>5.0</v>
      </c>
      <c r="D3" s="14"/>
      <c r="E3" s="12" t="s">
        <v>107</v>
      </c>
    </row>
    <row r="4">
      <c r="A4" s="13">
        <v>3.0</v>
      </c>
      <c r="B4" s="12" t="s">
        <v>108</v>
      </c>
      <c r="C4" s="13">
        <v>2.0</v>
      </c>
      <c r="D4" s="14"/>
      <c r="E4" s="12" t="s">
        <v>109</v>
      </c>
    </row>
    <row r="5">
      <c r="A5" s="13">
        <v>4.0</v>
      </c>
      <c r="B5" s="12" t="s">
        <v>110</v>
      </c>
      <c r="C5" s="13">
        <v>2.0</v>
      </c>
      <c r="D5" s="14"/>
      <c r="E5" s="12" t="s">
        <v>111</v>
      </c>
    </row>
    <row r="6">
      <c r="A6" s="13">
        <v>5.0</v>
      </c>
      <c r="B6" s="12" t="s">
        <v>112</v>
      </c>
      <c r="C6" s="13">
        <v>2.0</v>
      </c>
      <c r="D6" s="14"/>
      <c r="E6" s="12" t="s">
        <v>113</v>
      </c>
    </row>
    <row r="7">
      <c r="A7" s="13">
        <v>6.0</v>
      </c>
      <c r="B7" s="12" t="s">
        <v>114</v>
      </c>
      <c r="C7" s="13">
        <v>5.0</v>
      </c>
      <c r="D7" s="14"/>
      <c r="E7" s="12" t="s">
        <v>115</v>
      </c>
    </row>
    <row r="8">
      <c r="A8" s="13">
        <v>7.0</v>
      </c>
      <c r="B8" s="12" t="s">
        <v>116</v>
      </c>
      <c r="C8" s="13">
        <v>4.0</v>
      </c>
      <c r="D8" s="14"/>
      <c r="E8" s="12" t="s">
        <v>117</v>
      </c>
    </row>
    <row r="9">
      <c r="A9" s="13">
        <v>8.0</v>
      </c>
      <c r="B9" s="12" t="s">
        <v>118</v>
      </c>
      <c r="C9" s="13">
        <v>5.0</v>
      </c>
      <c r="D9" s="14"/>
      <c r="E9" s="12" t="s">
        <v>119</v>
      </c>
    </row>
    <row r="10">
      <c r="A10" s="13">
        <v>9.0</v>
      </c>
      <c r="B10" s="12" t="s">
        <v>120</v>
      </c>
      <c r="C10" s="13">
        <v>3.0</v>
      </c>
      <c r="D10" s="14"/>
      <c r="E10" s="12" t="s">
        <v>121</v>
      </c>
    </row>
    <row r="11">
      <c r="A11" s="13">
        <v>10.0</v>
      </c>
      <c r="B11" s="12" t="s">
        <v>122</v>
      </c>
      <c r="C11" s="13">
        <v>2.0</v>
      </c>
      <c r="D11" s="14"/>
      <c r="E11" s="12" t="s">
        <v>123</v>
      </c>
    </row>
    <row r="12">
      <c r="A12" s="13">
        <v>11.0</v>
      </c>
      <c r="B12" s="12" t="s">
        <v>124</v>
      </c>
      <c r="C12" s="13">
        <v>4.0</v>
      </c>
      <c r="D12" s="14"/>
      <c r="E12" s="12" t="s">
        <v>125</v>
      </c>
    </row>
    <row r="13">
      <c r="A13" s="13">
        <v>12.0</v>
      </c>
      <c r="B13" s="12" t="s">
        <v>126</v>
      </c>
      <c r="C13" s="13">
        <v>4.0</v>
      </c>
      <c r="D13" s="14"/>
      <c r="E13" s="12" t="s">
        <v>127</v>
      </c>
    </row>
    <row r="14">
      <c r="A14" s="13">
        <v>13.0</v>
      </c>
      <c r="B14" s="12" t="s">
        <v>128</v>
      </c>
      <c r="C14" s="13">
        <v>2.0</v>
      </c>
      <c r="D14" s="14"/>
      <c r="E14" s="12" t="s">
        <v>129</v>
      </c>
    </row>
    <row r="15">
      <c r="A15" s="13">
        <v>14.0</v>
      </c>
      <c r="B15" s="12" t="s">
        <v>130</v>
      </c>
      <c r="C15" s="13">
        <v>4.0</v>
      </c>
      <c r="D15" s="14"/>
      <c r="E15" s="12" t="s">
        <v>131</v>
      </c>
    </row>
    <row r="16">
      <c r="A16" s="6"/>
    </row>
  </sheetData>
  <mergeCells count="13">
    <mergeCell ref="E10:F10"/>
    <mergeCell ref="E11:F11"/>
    <mergeCell ref="E12:F12"/>
    <mergeCell ref="E13:F13"/>
    <mergeCell ref="E14:F14"/>
    <mergeCell ref="E15:F15"/>
    <mergeCell ref="E3:F3"/>
    <mergeCell ref="E4:F4"/>
    <mergeCell ref="E5:F5"/>
    <mergeCell ref="E6:F6"/>
    <mergeCell ref="E7:F7"/>
    <mergeCell ref="E8:F8"/>
    <mergeCell ref="E9:F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5" max="5" width="18.13"/>
  </cols>
  <sheetData>
    <row r="1">
      <c r="A1" s="12" t="s">
        <v>190</v>
      </c>
      <c r="B1" s="12" t="s">
        <v>66</v>
      </c>
      <c r="C1" s="12" t="s">
        <v>100</v>
      </c>
      <c r="D1" s="12" t="s">
        <v>191</v>
      </c>
      <c r="E1" s="12" t="s">
        <v>94</v>
      </c>
      <c r="F1" s="12" t="s">
        <v>192</v>
      </c>
    </row>
    <row r="2">
      <c r="A2" s="12" t="s">
        <v>99</v>
      </c>
      <c r="B2" s="13">
        <v>410.0</v>
      </c>
      <c r="C2" s="13">
        <v>1.12</v>
      </c>
      <c r="D2" s="13">
        <v>459.2</v>
      </c>
      <c r="E2" s="12" t="s">
        <v>193</v>
      </c>
    </row>
  </sheetData>
  <mergeCells count="1">
    <mergeCell ref="E2:F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63"/>
    <col customWidth="1" min="2" max="2" width="44.25"/>
  </cols>
  <sheetData>
    <row r="1">
      <c r="A1" s="10" t="s">
        <v>132</v>
      </c>
      <c r="B1" s="10" t="s">
        <v>133</v>
      </c>
    </row>
    <row r="2">
      <c r="A2" s="10" t="s">
        <v>134</v>
      </c>
      <c r="B2" s="10" t="s">
        <v>135</v>
      </c>
    </row>
    <row r="3">
      <c r="A3" s="10" t="s">
        <v>136</v>
      </c>
      <c r="B3" s="10" t="s">
        <v>137</v>
      </c>
    </row>
    <row r="4">
      <c r="A4" s="8"/>
      <c r="B4" s="9" t="s">
        <v>138</v>
      </c>
    </row>
    <row r="5">
      <c r="A5" s="10" t="s">
        <v>139</v>
      </c>
      <c r="B5" s="10" t="s">
        <v>140</v>
      </c>
    </row>
    <row r="6">
      <c r="A6" s="8"/>
      <c r="B6" s="9" t="s">
        <v>141</v>
      </c>
    </row>
    <row r="7">
      <c r="A7" s="10" t="s">
        <v>142</v>
      </c>
      <c r="B7" s="10"/>
    </row>
    <row r="8">
      <c r="A8" s="10" t="s">
        <v>143</v>
      </c>
      <c r="B8" s="10" t="s">
        <v>144</v>
      </c>
    </row>
    <row r="9">
      <c r="A9" s="10" t="s">
        <v>145</v>
      </c>
      <c r="B9" s="10" t="s">
        <v>146</v>
      </c>
    </row>
    <row r="10">
      <c r="A10" s="10" t="s">
        <v>147</v>
      </c>
      <c r="B10" s="10" t="s">
        <v>148</v>
      </c>
    </row>
    <row r="11">
      <c r="A11" s="10" t="s">
        <v>149</v>
      </c>
      <c r="B11" s="10" t="s">
        <v>150</v>
      </c>
    </row>
    <row r="12">
      <c r="A12" s="10" t="s">
        <v>151</v>
      </c>
      <c r="B12" s="10"/>
    </row>
    <row r="13">
      <c r="A13" s="8"/>
      <c r="B13" s="9" t="s">
        <v>152</v>
      </c>
    </row>
    <row r="14">
      <c r="A14" s="10" t="s">
        <v>153</v>
      </c>
      <c r="B14" s="10" t="s">
        <v>154</v>
      </c>
    </row>
    <row r="15">
      <c r="B15" s="6" t="s">
        <v>155</v>
      </c>
    </row>
    <row r="16">
      <c r="B16" s="6" t="s">
        <v>156</v>
      </c>
    </row>
    <row r="17">
      <c r="B17" s="6" t="s">
        <v>157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8.88"/>
    <col customWidth="1" min="2" max="5" width="10.63"/>
    <col customWidth="1" min="6" max="6" width="15.38"/>
    <col customWidth="1" min="7" max="7" width="10.63"/>
    <col customWidth="1" min="8" max="8" width="12.75"/>
    <col customWidth="1" min="9" max="26" width="10.63"/>
  </cols>
  <sheetData>
    <row r="1" ht="12.75" customHeight="1">
      <c r="A1" s="15"/>
      <c r="B1" s="15"/>
      <c r="C1" s="15"/>
      <c r="D1" s="15"/>
      <c r="E1" s="15"/>
      <c r="F1" s="15"/>
      <c r="G1" s="15"/>
      <c r="H1" s="15"/>
      <c r="I1" s="15"/>
      <c r="J1" s="15"/>
      <c r="K1" s="15"/>
      <c r="L1" s="15"/>
      <c r="M1" s="15"/>
      <c r="N1" s="15"/>
      <c r="O1" s="15"/>
      <c r="P1" s="15"/>
      <c r="Q1" s="15"/>
      <c r="R1" s="15"/>
    </row>
    <row r="2" ht="12.75" customHeight="1">
      <c r="A2" s="15"/>
      <c r="B2" s="16" t="s">
        <v>159</v>
      </c>
      <c r="C2" s="16" t="s">
        <v>6</v>
      </c>
      <c r="D2" s="15" t="s">
        <v>161</v>
      </c>
      <c r="E2" s="15" t="s">
        <v>162</v>
      </c>
      <c r="F2" s="15" t="s">
        <v>163</v>
      </c>
      <c r="G2" s="15" t="s">
        <v>164</v>
      </c>
      <c r="H2" s="15" t="s">
        <v>165</v>
      </c>
      <c r="I2" s="16" t="s">
        <v>166</v>
      </c>
      <c r="J2" s="15" t="s">
        <v>167</v>
      </c>
      <c r="K2" s="16" t="s">
        <v>168</v>
      </c>
      <c r="L2" s="15" t="s">
        <v>170</v>
      </c>
      <c r="M2" s="15" t="s">
        <v>171</v>
      </c>
      <c r="N2" s="15" t="s">
        <v>172</v>
      </c>
      <c r="O2" s="15" t="s">
        <v>173</v>
      </c>
      <c r="P2" s="15" t="s">
        <v>174</v>
      </c>
      <c r="Q2" s="15" t="s">
        <v>175</v>
      </c>
      <c r="R2" s="15" t="s">
        <v>176</v>
      </c>
    </row>
    <row r="3" ht="12.75" customHeight="1">
      <c r="A3" s="15" t="s">
        <v>177</v>
      </c>
      <c r="B3" s="19">
        <f>ROUND(C3*Q3, 0)</f>
        <v>53463</v>
      </c>
      <c r="C3" s="19">
        <f t="shared" ref="C3:C5" si="1">(D3*((I3*K3*L3)+(N3*O3))*P3*R3*0.001)</f>
        <v>112.553658</v>
      </c>
      <c r="D3" s="21">
        <v>504.0</v>
      </c>
      <c r="E3" s="22" t="s">
        <v>194</v>
      </c>
      <c r="F3" s="15" t="s">
        <v>195</v>
      </c>
      <c r="G3" s="21">
        <v>1.0</v>
      </c>
      <c r="H3" s="21">
        <v>12.0</v>
      </c>
      <c r="I3" s="19">
        <f>H3*G3</f>
        <v>12</v>
      </c>
      <c r="J3" s="21">
        <v>130.0</v>
      </c>
      <c r="K3" s="19">
        <f>J3/I3</f>
        <v>10.83333333</v>
      </c>
      <c r="L3" s="21">
        <v>1.0</v>
      </c>
      <c r="M3" s="15"/>
      <c r="N3" s="21">
        <v>10.0</v>
      </c>
      <c r="O3" s="21">
        <v>0.3725</v>
      </c>
      <c r="P3" s="21">
        <v>1.67</v>
      </c>
      <c r="Q3" s="21">
        <v>475.0</v>
      </c>
      <c r="R3" s="21">
        <v>1.0</v>
      </c>
    </row>
    <row r="4" ht="12.75" customHeight="1">
      <c r="A4" s="22" t="s">
        <v>196</v>
      </c>
      <c r="B4" s="15">
        <f t="shared" ref="B4:B5" si="2">ROUND(C4*Q4, 0)</f>
        <v>628673</v>
      </c>
      <c r="C4" s="15">
        <f t="shared" si="1"/>
        <v>1323.52176</v>
      </c>
      <c r="D4" s="22">
        <v>79.0</v>
      </c>
      <c r="E4" s="22" t="s">
        <v>197</v>
      </c>
      <c r="F4" s="22" t="s">
        <v>198</v>
      </c>
      <c r="G4" s="22">
        <v>64.0</v>
      </c>
      <c r="H4" s="22">
        <v>1.0</v>
      </c>
      <c r="I4" s="15">
        <f t="shared" ref="I4:I5" si="3">G4*H4</f>
        <v>64</v>
      </c>
      <c r="J4" s="22">
        <v>250.0</v>
      </c>
      <c r="K4" s="15">
        <f t="shared" ref="K4:K5" si="4">J4/H4</f>
        <v>250</v>
      </c>
      <c r="L4" s="22">
        <v>0.627</v>
      </c>
      <c r="M4" s="15"/>
      <c r="N4" s="22">
        <v>0.0</v>
      </c>
      <c r="O4" s="22">
        <v>0.3725</v>
      </c>
      <c r="P4" s="22">
        <v>1.67</v>
      </c>
      <c r="Q4" s="22">
        <v>475.0</v>
      </c>
      <c r="R4" s="22">
        <v>1.0</v>
      </c>
    </row>
    <row r="5" ht="12.75" customHeight="1">
      <c r="A5" s="22" t="s">
        <v>199</v>
      </c>
      <c r="B5" s="15">
        <f t="shared" si="2"/>
        <v>62867284</v>
      </c>
      <c r="C5" s="15">
        <f t="shared" si="1"/>
        <v>132352.176</v>
      </c>
      <c r="D5" s="22">
        <v>79.0</v>
      </c>
      <c r="E5" s="22" t="s">
        <v>200</v>
      </c>
      <c r="F5" s="22" t="s">
        <v>198</v>
      </c>
      <c r="G5" s="22">
        <v>64.0</v>
      </c>
      <c r="H5" s="22">
        <v>1.0</v>
      </c>
      <c r="I5" s="15">
        <f t="shared" si="3"/>
        <v>64</v>
      </c>
      <c r="J5" s="22">
        <v>250.0</v>
      </c>
      <c r="K5" s="15">
        <f t="shared" si="4"/>
        <v>250</v>
      </c>
      <c r="L5" s="22">
        <v>0.627</v>
      </c>
      <c r="M5" s="15"/>
      <c r="N5" s="22">
        <v>0.0</v>
      </c>
      <c r="O5" s="22">
        <v>0.3725</v>
      </c>
      <c r="P5" s="22">
        <v>1.67</v>
      </c>
      <c r="Q5" s="22">
        <v>475.0</v>
      </c>
      <c r="R5" s="22">
        <v>100.0</v>
      </c>
    </row>
    <row r="6" ht="15.0" customHeight="1">
      <c r="A6" s="15"/>
      <c r="B6" s="15"/>
      <c r="C6" s="15"/>
      <c r="D6" s="15"/>
      <c r="E6" s="15"/>
      <c r="F6" s="15"/>
      <c r="G6" s="15"/>
      <c r="H6" s="15"/>
      <c r="I6" s="15"/>
      <c r="J6" s="15"/>
      <c r="K6" s="15"/>
      <c r="L6" s="15"/>
      <c r="M6" s="15"/>
      <c r="N6" s="15"/>
      <c r="O6" s="15"/>
      <c r="P6" s="15"/>
      <c r="Q6" s="15"/>
      <c r="R6" s="15"/>
    </row>
    <row r="7" ht="42.75" customHeight="1">
      <c r="A7" s="15" t="s">
        <v>201</v>
      </c>
      <c r="B7" s="15"/>
      <c r="C7" s="15"/>
      <c r="D7" s="15"/>
      <c r="E7" s="15"/>
      <c r="F7" s="24" t="s">
        <v>202</v>
      </c>
      <c r="G7" s="25"/>
      <c r="H7" s="26"/>
      <c r="I7" s="15"/>
      <c r="J7" s="15"/>
      <c r="K7" s="15"/>
      <c r="L7" s="15"/>
      <c r="M7" s="15"/>
      <c r="N7" s="15"/>
      <c r="O7" s="15"/>
      <c r="P7" s="15"/>
      <c r="Q7" s="15"/>
      <c r="R7" s="15"/>
    </row>
    <row r="8" ht="56.25" customHeight="1">
      <c r="A8" s="18" t="s">
        <v>203</v>
      </c>
      <c r="B8" s="15"/>
      <c r="C8" s="15"/>
      <c r="D8" s="15"/>
      <c r="E8" s="15"/>
      <c r="F8" s="24" t="s">
        <v>204</v>
      </c>
      <c r="G8" s="25"/>
      <c r="H8" s="26"/>
      <c r="I8" s="15"/>
      <c r="J8" s="15"/>
      <c r="K8" s="15"/>
      <c r="L8" s="15"/>
      <c r="M8" s="15"/>
      <c r="N8" s="15"/>
      <c r="O8" s="15"/>
      <c r="P8" s="15"/>
      <c r="Q8" s="15"/>
      <c r="R8" s="15"/>
    </row>
    <row r="9" ht="12.75" customHeight="1">
      <c r="A9" s="18" t="s">
        <v>205</v>
      </c>
      <c r="B9" s="15"/>
      <c r="C9" s="15"/>
      <c r="D9" s="15"/>
      <c r="E9" s="15"/>
      <c r="F9" s="15"/>
      <c r="G9" s="15"/>
      <c r="H9" s="15"/>
      <c r="I9" s="15"/>
      <c r="J9" s="15"/>
      <c r="K9" s="15"/>
      <c r="L9" s="15"/>
      <c r="M9" s="15"/>
      <c r="N9" s="15"/>
      <c r="O9" s="15"/>
      <c r="P9" s="15"/>
      <c r="Q9" s="15"/>
      <c r="R9" s="15"/>
    </row>
    <row r="10" ht="12.75" customHeight="1">
      <c r="A10" s="27">
        <v>1.0</v>
      </c>
      <c r="B10" s="15"/>
      <c r="C10" s="15"/>
      <c r="D10" s="15"/>
      <c r="E10" s="15"/>
      <c r="F10" s="15"/>
      <c r="G10" s="15"/>
      <c r="H10" s="15"/>
      <c r="I10" s="15"/>
      <c r="J10" s="15"/>
      <c r="K10" s="15"/>
      <c r="L10" s="15"/>
      <c r="M10" s="15"/>
      <c r="N10" s="15"/>
      <c r="O10" s="15"/>
      <c r="P10" s="15"/>
      <c r="Q10" s="15"/>
      <c r="R10" s="15"/>
    </row>
    <row r="11" ht="12.75" customHeight="1">
      <c r="A11" s="15" t="s">
        <v>207</v>
      </c>
      <c r="B11" s="15"/>
      <c r="C11" s="15"/>
      <c r="D11" s="15"/>
      <c r="E11" s="15"/>
      <c r="F11" s="15"/>
      <c r="G11" s="15"/>
      <c r="H11" s="15"/>
      <c r="I11" s="15"/>
      <c r="J11" s="15"/>
      <c r="K11" s="15"/>
      <c r="L11" s="15"/>
      <c r="M11" s="15"/>
      <c r="N11" s="15"/>
      <c r="O11" s="15"/>
      <c r="P11" s="15"/>
      <c r="Q11" s="15"/>
      <c r="R11" s="15"/>
    </row>
    <row r="12" ht="12.75" customHeight="1">
      <c r="A12" s="15" t="s">
        <v>208</v>
      </c>
      <c r="B12" s="15"/>
      <c r="C12" s="15"/>
      <c r="D12" s="15"/>
      <c r="E12" s="15"/>
      <c r="F12" s="15"/>
      <c r="G12" s="15"/>
      <c r="H12" s="15"/>
      <c r="I12" s="15"/>
      <c r="J12" s="15"/>
      <c r="K12" s="15"/>
      <c r="L12" s="15"/>
      <c r="M12" s="15"/>
      <c r="N12" s="15"/>
      <c r="O12" s="15"/>
      <c r="P12" s="15"/>
      <c r="Q12" s="15"/>
      <c r="R12" s="15"/>
    </row>
    <row r="13" ht="12.75" customHeight="1">
      <c r="A13" s="18" t="s">
        <v>209</v>
      </c>
      <c r="B13" s="15"/>
      <c r="C13" s="15"/>
      <c r="D13" s="15"/>
      <c r="E13" s="15"/>
      <c r="F13" s="15"/>
      <c r="G13" s="15"/>
      <c r="H13" s="15"/>
      <c r="I13" s="15"/>
      <c r="J13" s="15"/>
      <c r="K13" s="15"/>
      <c r="L13" s="15"/>
      <c r="M13" s="15"/>
      <c r="N13" s="15"/>
      <c r="O13" s="15"/>
      <c r="P13" s="15"/>
      <c r="Q13" s="15"/>
      <c r="R13" s="15"/>
    </row>
    <row r="14" ht="12.75" customHeight="1">
      <c r="A14" s="18" t="s">
        <v>210</v>
      </c>
      <c r="B14" s="15"/>
      <c r="C14" s="15"/>
      <c r="D14" s="15"/>
      <c r="E14" s="15"/>
      <c r="F14" s="15"/>
      <c r="G14" s="15"/>
      <c r="H14" s="15"/>
      <c r="I14" s="15"/>
      <c r="J14" s="15"/>
      <c r="K14" s="15"/>
      <c r="L14" s="15"/>
      <c r="M14" s="15"/>
      <c r="N14" s="15"/>
      <c r="O14" s="15"/>
      <c r="P14" s="15"/>
      <c r="Q14" s="15"/>
      <c r="R14" s="15"/>
    </row>
    <row r="15" ht="12.75" customHeight="1">
      <c r="A15" s="18" t="s">
        <v>211</v>
      </c>
      <c r="B15" s="15"/>
      <c r="C15" s="15"/>
      <c r="D15" s="15"/>
      <c r="E15" s="15"/>
      <c r="F15" s="15"/>
      <c r="G15" s="15"/>
      <c r="H15" s="15"/>
      <c r="I15" s="15"/>
      <c r="J15" s="15"/>
      <c r="K15" s="15"/>
      <c r="L15" s="15"/>
      <c r="M15" s="15"/>
      <c r="N15" s="15"/>
      <c r="O15" s="15"/>
      <c r="P15" s="15"/>
      <c r="Q15" s="15"/>
      <c r="R15" s="15"/>
    </row>
    <row r="16" ht="12.75" customHeight="1">
      <c r="A16" s="18" t="s">
        <v>212</v>
      </c>
      <c r="B16" s="15"/>
      <c r="C16" s="15"/>
      <c r="D16" s="15"/>
      <c r="E16" s="15"/>
      <c r="F16" s="15"/>
      <c r="G16" s="15"/>
      <c r="H16" s="15"/>
      <c r="I16" s="15"/>
      <c r="J16" s="15"/>
      <c r="K16" s="15"/>
      <c r="L16" s="15"/>
      <c r="M16" s="15"/>
      <c r="N16" s="15"/>
      <c r="O16" s="15"/>
      <c r="P16" s="15"/>
      <c r="Q16" s="15"/>
      <c r="R16" s="15"/>
    </row>
    <row r="17" ht="12.75" customHeight="1">
      <c r="A17" s="18" t="s">
        <v>213</v>
      </c>
      <c r="B17" s="15"/>
      <c r="C17" s="15"/>
      <c r="D17" s="15"/>
      <c r="E17" s="15"/>
      <c r="F17" s="15"/>
      <c r="G17" s="15"/>
      <c r="H17" s="15"/>
      <c r="I17" s="15"/>
      <c r="J17" s="15"/>
      <c r="K17" s="15"/>
      <c r="L17" s="15"/>
      <c r="M17" s="15"/>
      <c r="N17" s="15"/>
      <c r="O17" s="15"/>
      <c r="P17" s="15"/>
      <c r="Q17" s="15"/>
      <c r="R17" s="15"/>
    </row>
    <row r="18" ht="12.75" customHeight="1">
      <c r="A18" s="18" t="s">
        <v>214</v>
      </c>
      <c r="B18" s="15"/>
      <c r="C18" s="15"/>
      <c r="D18" s="15"/>
      <c r="E18" s="15"/>
      <c r="F18" s="15"/>
      <c r="G18" s="15"/>
      <c r="H18" s="15"/>
      <c r="I18" s="15"/>
      <c r="J18" s="15"/>
      <c r="K18" s="15"/>
      <c r="L18" s="15"/>
      <c r="M18" s="15"/>
      <c r="N18" s="15"/>
      <c r="O18" s="15"/>
      <c r="P18" s="15"/>
      <c r="Q18" s="15"/>
      <c r="R18" s="15"/>
    </row>
    <row r="19" ht="12.75" customHeight="1">
      <c r="A19" s="18" t="s">
        <v>216</v>
      </c>
      <c r="B19" s="15"/>
      <c r="C19" s="15"/>
      <c r="D19" s="15"/>
      <c r="E19" s="15"/>
      <c r="F19" s="15"/>
      <c r="G19" s="15"/>
      <c r="H19" s="15"/>
      <c r="I19" s="15"/>
      <c r="J19" s="15"/>
      <c r="K19" s="15"/>
      <c r="L19" s="15"/>
      <c r="M19" s="15"/>
      <c r="N19" s="15"/>
      <c r="O19" s="15"/>
      <c r="P19" s="15"/>
      <c r="Q19" s="15"/>
      <c r="R19" s="15"/>
    </row>
    <row r="20" ht="12.75" customHeight="1">
      <c r="A20" s="18" t="s">
        <v>217</v>
      </c>
      <c r="B20" s="15"/>
      <c r="C20" s="15"/>
      <c r="D20" s="15"/>
      <c r="E20" s="15"/>
      <c r="F20" s="15"/>
      <c r="G20" s="15"/>
      <c r="H20" s="15"/>
      <c r="I20" s="15"/>
      <c r="J20" s="15"/>
      <c r="K20" s="15"/>
      <c r="L20" s="15"/>
      <c r="M20" s="15"/>
      <c r="N20" s="15"/>
      <c r="O20" s="15"/>
      <c r="P20" s="15"/>
      <c r="Q20" s="15"/>
      <c r="R20" s="15"/>
    </row>
    <row r="21" ht="12.75" customHeight="1">
      <c r="A21" s="18" t="s">
        <v>218</v>
      </c>
      <c r="B21" s="15"/>
      <c r="C21" s="15"/>
      <c r="D21" s="15"/>
      <c r="E21" s="15"/>
      <c r="F21" s="15"/>
      <c r="G21" s="15"/>
      <c r="H21" s="15"/>
      <c r="I21" s="15"/>
      <c r="J21" s="15"/>
      <c r="K21" s="15"/>
      <c r="L21" s="15"/>
      <c r="M21" s="15"/>
      <c r="N21" s="15"/>
      <c r="O21" s="15"/>
      <c r="P21" s="15"/>
      <c r="Q21" s="15"/>
      <c r="R21" s="15"/>
    </row>
    <row r="22" ht="12.75" customHeight="1">
      <c r="A22" s="15"/>
      <c r="B22" s="15"/>
      <c r="C22" s="15"/>
      <c r="D22" s="15"/>
      <c r="E22" s="15"/>
      <c r="F22" s="15"/>
      <c r="G22" s="15"/>
      <c r="H22" s="15"/>
      <c r="I22" s="15"/>
      <c r="J22" s="15"/>
      <c r="K22" s="15"/>
      <c r="L22" s="15"/>
      <c r="M22" s="15"/>
      <c r="N22" s="15"/>
      <c r="O22" s="15"/>
      <c r="P22" s="15"/>
      <c r="Q22" s="15"/>
      <c r="R22" s="15"/>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F7:H7"/>
    <mergeCell ref="F8:H8"/>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10.63"/>
  </cols>
  <sheetData>
    <row r="1" ht="12.75" customHeight="1">
      <c r="A1" s="15" t="s">
        <v>158</v>
      </c>
      <c r="B1" s="15"/>
      <c r="C1" s="15"/>
      <c r="D1" s="15"/>
      <c r="E1" s="15"/>
      <c r="F1" s="15"/>
      <c r="G1" s="15"/>
      <c r="H1" s="15"/>
      <c r="I1" s="15"/>
      <c r="J1" s="15"/>
      <c r="K1" s="15"/>
      <c r="L1" s="15"/>
    </row>
    <row r="2" ht="12.75" customHeight="1">
      <c r="A2" s="17" t="s">
        <v>160</v>
      </c>
      <c r="B2" s="15"/>
      <c r="C2" s="15"/>
      <c r="D2" s="15"/>
      <c r="E2" s="15"/>
      <c r="F2" s="15"/>
      <c r="G2" s="15"/>
      <c r="H2" s="15"/>
      <c r="I2" s="15"/>
      <c r="J2" s="15"/>
      <c r="K2" s="15"/>
      <c r="L2" s="15"/>
    </row>
    <row r="3" ht="12.75" customHeight="1">
      <c r="A3" s="17" t="s">
        <v>169</v>
      </c>
      <c r="B3" s="15"/>
      <c r="C3" s="15"/>
      <c r="D3" s="15"/>
      <c r="E3" s="15"/>
      <c r="F3" s="15"/>
      <c r="G3" s="15"/>
      <c r="H3" s="15"/>
      <c r="I3" s="15"/>
      <c r="J3" s="15"/>
      <c r="K3" s="15"/>
      <c r="L3" s="15"/>
    </row>
    <row r="4" ht="12.75" customHeight="1">
      <c r="A4" s="17" t="s">
        <v>178</v>
      </c>
      <c r="B4" s="15"/>
      <c r="C4" s="15"/>
      <c r="D4" s="15"/>
      <c r="E4" s="15"/>
      <c r="F4" s="15"/>
      <c r="G4" s="15"/>
      <c r="H4" s="15"/>
      <c r="I4" s="17"/>
      <c r="J4" s="15"/>
      <c r="K4" s="15"/>
      <c r="L4" s="15"/>
    </row>
    <row r="5" ht="12.75" customHeight="1">
      <c r="A5" s="15"/>
      <c r="B5" s="15"/>
      <c r="C5" s="15"/>
      <c r="D5" s="15"/>
      <c r="E5" s="15"/>
      <c r="F5" s="15"/>
      <c r="G5" s="15"/>
      <c r="H5" s="15"/>
      <c r="I5" s="17"/>
      <c r="J5" s="15"/>
      <c r="K5" s="15"/>
      <c r="L5" s="15"/>
    </row>
    <row r="6" ht="12.75" customHeight="1">
      <c r="A6" s="17" t="s">
        <v>179</v>
      </c>
      <c r="B6" s="15"/>
      <c r="C6" s="15"/>
      <c r="D6" s="15"/>
      <c r="E6" s="15"/>
      <c r="F6" s="15"/>
      <c r="G6" s="15"/>
      <c r="H6" s="15"/>
      <c r="I6" s="15"/>
      <c r="J6" s="15"/>
      <c r="K6" s="15"/>
      <c r="L6" s="15"/>
    </row>
    <row r="7" ht="12.75" customHeight="1">
      <c r="A7" s="15"/>
      <c r="B7" s="15"/>
      <c r="C7" s="15"/>
      <c r="D7" s="15"/>
      <c r="E7" s="15"/>
      <c r="F7" s="15"/>
      <c r="G7" s="15"/>
      <c r="H7" s="15"/>
      <c r="I7" s="15"/>
      <c r="J7" s="15"/>
      <c r="K7" s="15"/>
      <c r="L7" s="15"/>
    </row>
    <row r="8" ht="12.75" customHeight="1">
      <c r="A8" s="15"/>
      <c r="B8" s="15" t="s">
        <v>180</v>
      </c>
      <c r="C8" s="15" t="s">
        <v>181</v>
      </c>
      <c r="D8" s="18" t="s">
        <v>182</v>
      </c>
      <c r="E8" s="15" t="s">
        <v>183</v>
      </c>
      <c r="F8" s="15" t="s">
        <v>184</v>
      </c>
      <c r="G8" s="18" t="s">
        <v>185</v>
      </c>
      <c r="H8" s="15" t="s">
        <v>183</v>
      </c>
      <c r="I8" s="15" t="s">
        <v>186</v>
      </c>
      <c r="J8" s="18" t="s">
        <v>187</v>
      </c>
      <c r="K8" s="15" t="s">
        <v>183</v>
      </c>
      <c r="L8" s="15" t="s">
        <v>188</v>
      </c>
    </row>
    <row r="9" ht="12.75" customHeight="1">
      <c r="A9" s="20" t="s">
        <v>189</v>
      </c>
      <c r="B9" s="21">
        <f t="shared" ref="B9:B12" si="1">ROUND(C9, 0)</f>
        <v>88</v>
      </c>
      <c r="C9" s="21">
        <f t="shared" ref="C9:C12" si="2">100-5*(3*F9+2*I9+L9)/6</f>
        <v>88.05444757</v>
      </c>
      <c r="D9" s="23">
        <v>205.0</v>
      </c>
      <c r="E9" s="21">
        <f t="shared" ref="E9:E12" si="3">INDEX(F$16:F$36, MATCH(D9, C$16:C$36, 1))</f>
        <v>4</v>
      </c>
      <c r="F9" s="21">
        <f t="shared" ref="F9:F12" si="4">(E9 - 1) + (D9 - INDEX(C$16:C$36, E9)) / (INDEX(C$16:C$36, E9 + 1) - INDEX(C$16:C$36, E9))</f>
        <v>3.621621622</v>
      </c>
      <c r="G9" s="23">
        <v>18.5</v>
      </c>
      <c r="H9" s="21">
        <f t="shared" ref="H9:H12" si="5">INDEX(F$16:F$36, MATCH(G9, D$16:D$36, 1))</f>
        <v>2</v>
      </c>
      <c r="I9" s="21">
        <f t="shared" ref="I9:I12" si="6">(H9 - 1) + (G9 - INDEX(D$16:D$36, H9)) / (INDEX(D$16:D$36, H9 + 1) - INDEX(D$16:D$36, H9))</f>
        <v>1.119514407</v>
      </c>
      <c r="J9" s="23">
        <v>5.0</v>
      </c>
      <c r="K9" s="21">
        <f t="shared" ref="K9:K12" si="7">INDEX(F$16:F$36, MATCH(J9, E$16:E$36, 1))</f>
        <v>2</v>
      </c>
      <c r="L9" s="21">
        <f t="shared" ref="L9:L12" si="8">(K9 - 1) + (J9 - INDEX(E$16:E$36, K9)) / (INDEX(E$16:E$36, K9 + 1) - INDEX(E$16:E$36, K9))</f>
        <v>1.230769231</v>
      </c>
    </row>
    <row r="10" ht="12.75" customHeight="1">
      <c r="A10" s="20" t="s">
        <v>206</v>
      </c>
      <c r="B10" s="21">
        <f t="shared" si="1"/>
        <v>25</v>
      </c>
      <c r="C10" s="21">
        <f t="shared" si="2"/>
        <v>25.08661758</v>
      </c>
      <c r="D10" s="22">
        <v>1650.0</v>
      </c>
      <c r="E10" s="21">
        <f t="shared" si="3"/>
        <v>18</v>
      </c>
      <c r="F10" s="21">
        <f t="shared" si="4"/>
        <v>17.55847953</v>
      </c>
      <c r="G10" s="22">
        <v>2400.0</v>
      </c>
      <c r="H10" s="21">
        <f t="shared" si="5"/>
        <v>14</v>
      </c>
      <c r="I10" s="21">
        <f t="shared" si="6"/>
        <v>13.79781015</v>
      </c>
      <c r="J10" s="22">
        <v>75.0</v>
      </c>
      <c r="K10" s="21">
        <f t="shared" si="7"/>
        <v>10</v>
      </c>
      <c r="L10" s="21">
        <f t="shared" si="8"/>
        <v>9.625</v>
      </c>
    </row>
    <row r="11" ht="12.75" customHeight="1">
      <c r="A11" s="20" t="s">
        <v>215</v>
      </c>
      <c r="B11" s="21">
        <f t="shared" si="1"/>
        <v>10</v>
      </c>
      <c r="C11" s="21">
        <f t="shared" si="2"/>
        <v>10.17402736</v>
      </c>
      <c r="D11" s="22">
        <v>3800.0</v>
      </c>
      <c r="E11" s="21">
        <f t="shared" si="3"/>
        <v>20</v>
      </c>
      <c r="F11" s="21">
        <f t="shared" si="4"/>
        <v>19.00223096</v>
      </c>
      <c r="G11" s="22">
        <v>4900.0</v>
      </c>
      <c r="H11" s="21">
        <f t="shared" si="5"/>
        <v>18</v>
      </c>
      <c r="I11" s="21">
        <f t="shared" si="6"/>
        <v>17.5981195</v>
      </c>
      <c r="J11" s="22">
        <v>140.0</v>
      </c>
      <c r="K11" s="21">
        <f t="shared" si="7"/>
        <v>16</v>
      </c>
      <c r="L11" s="21">
        <f t="shared" si="8"/>
        <v>15.58823529</v>
      </c>
    </row>
    <row r="12" ht="12.75" customHeight="1">
      <c r="A12" s="28" t="s">
        <v>99</v>
      </c>
      <c r="B12" s="21">
        <f t="shared" si="1"/>
        <v>73</v>
      </c>
      <c r="C12" s="21">
        <f t="shared" si="2"/>
        <v>72.85200294</v>
      </c>
      <c r="D12" s="22">
        <v>420.0</v>
      </c>
      <c r="E12" s="21">
        <f t="shared" si="3"/>
        <v>8</v>
      </c>
      <c r="F12" s="21">
        <f t="shared" si="4"/>
        <v>7.050847458</v>
      </c>
      <c r="G12" s="22">
        <v>550.0</v>
      </c>
      <c r="H12" s="21">
        <f t="shared" si="5"/>
        <v>5</v>
      </c>
      <c r="I12" s="21">
        <f t="shared" si="6"/>
        <v>4.462527047</v>
      </c>
      <c r="J12" s="22">
        <v>20.0</v>
      </c>
      <c r="K12" s="21">
        <f t="shared" si="7"/>
        <v>3</v>
      </c>
      <c r="L12" s="21">
        <f t="shared" si="8"/>
        <v>2.5</v>
      </c>
    </row>
    <row r="13" ht="12.75" customHeight="1">
      <c r="A13" s="17" t="s">
        <v>219</v>
      </c>
      <c r="B13" s="15"/>
      <c r="C13" s="15"/>
      <c r="D13" s="15"/>
      <c r="E13" s="15"/>
      <c r="F13" s="15"/>
      <c r="G13" s="15"/>
      <c r="H13" s="15"/>
      <c r="I13" s="15"/>
      <c r="J13" s="15"/>
      <c r="K13" s="15"/>
      <c r="L13" s="15"/>
    </row>
    <row r="14" ht="12.75" customHeight="1">
      <c r="A14" s="29"/>
      <c r="B14" s="29"/>
      <c r="C14" s="29"/>
      <c r="D14" s="29"/>
      <c r="E14" s="29"/>
      <c r="F14" s="29"/>
      <c r="G14" s="15"/>
      <c r="H14" s="15"/>
      <c r="I14" s="15"/>
      <c r="J14" s="15"/>
      <c r="K14" s="15"/>
      <c r="L14" s="15"/>
    </row>
    <row r="15" ht="12.75" customHeight="1">
      <c r="A15" s="30" t="s">
        <v>220</v>
      </c>
      <c r="B15" s="31"/>
      <c r="C15" s="32" t="s">
        <v>221</v>
      </c>
      <c r="D15" s="32" t="s">
        <v>222</v>
      </c>
      <c r="E15" s="32" t="s">
        <v>223</v>
      </c>
      <c r="F15" s="32" t="s">
        <v>224</v>
      </c>
      <c r="G15" s="15"/>
      <c r="H15" s="15"/>
      <c r="I15" s="15"/>
      <c r="J15" s="15"/>
      <c r="K15" s="15"/>
      <c r="L15" s="15"/>
    </row>
    <row r="16" ht="12.75" customHeight="1">
      <c r="A16" s="33"/>
      <c r="B16" s="34">
        <v>1.0</v>
      </c>
      <c r="C16" s="35">
        <v>0.0</v>
      </c>
      <c r="D16" s="35">
        <v>0.0</v>
      </c>
      <c r="E16" s="35">
        <v>0.0</v>
      </c>
      <c r="F16" s="36">
        <v>1.0</v>
      </c>
      <c r="G16" s="15"/>
      <c r="H16" s="15"/>
      <c r="I16" s="15"/>
      <c r="J16" s="15"/>
      <c r="K16" s="15"/>
      <c r="L16" s="15"/>
    </row>
    <row r="17" ht="12.75" customHeight="1">
      <c r="A17" s="34">
        <v>2.0</v>
      </c>
      <c r="B17" s="37"/>
      <c r="C17" s="35">
        <v>47.0</v>
      </c>
      <c r="D17" s="35">
        <v>1.37</v>
      </c>
      <c r="E17" s="35">
        <v>2.0</v>
      </c>
      <c r="F17" s="36">
        <v>2.0</v>
      </c>
      <c r="G17" s="15"/>
      <c r="H17" s="15"/>
      <c r="I17" s="15"/>
      <c r="J17" s="15"/>
      <c r="K17" s="15"/>
      <c r="L17" s="15"/>
    </row>
    <row r="18" ht="12.75" customHeight="1">
      <c r="A18" s="37"/>
      <c r="B18" s="34">
        <v>3.0</v>
      </c>
      <c r="C18" s="35">
        <v>75.0</v>
      </c>
      <c r="D18" s="35">
        <v>144.7</v>
      </c>
      <c r="E18" s="35">
        <v>15.0</v>
      </c>
      <c r="F18" s="36">
        <v>3.0</v>
      </c>
      <c r="G18" s="15"/>
      <c r="H18" s="15"/>
      <c r="I18" s="15"/>
      <c r="J18" s="15"/>
      <c r="K18" s="15"/>
      <c r="L18" s="15"/>
    </row>
    <row r="19" ht="12.75" customHeight="1">
      <c r="A19" s="34">
        <v>4.0</v>
      </c>
      <c r="B19" s="37"/>
      <c r="C19" s="35">
        <v>159.0</v>
      </c>
      <c r="D19" s="35">
        <v>319.53</v>
      </c>
      <c r="E19" s="35">
        <v>25.0</v>
      </c>
      <c r="F19" s="36">
        <v>4.0</v>
      </c>
      <c r="G19" s="15"/>
      <c r="H19" s="15"/>
      <c r="I19" s="15"/>
      <c r="J19" s="15"/>
      <c r="K19" s="15"/>
      <c r="L19" s="15"/>
    </row>
    <row r="20" ht="12.75" customHeight="1">
      <c r="A20" s="37"/>
      <c r="B20" s="34">
        <v>5.0</v>
      </c>
      <c r="C20" s="35">
        <v>233.0</v>
      </c>
      <c r="D20" s="35">
        <v>479.46</v>
      </c>
      <c r="E20" s="35">
        <v>34.0</v>
      </c>
      <c r="F20" s="36">
        <v>5.0</v>
      </c>
      <c r="G20" s="15"/>
      <c r="H20" s="15"/>
      <c r="I20" s="15"/>
      <c r="J20" s="15"/>
      <c r="K20" s="15"/>
      <c r="L20" s="15"/>
    </row>
    <row r="21" ht="12.75" customHeight="1">
      <c r="A21" s="34">
        <v>6.0</v>
      </c>
      <c r="B21" s="37"/>
      <c r="C21" s="35">
        <v>298.0</v>
      </c>
      <c r="D21" s="35">
        <v>631.97</v>
      </c>
      <c r="E21" s="35">
        <v>42.0</v>
      </c>
      <c r="F21" s="36">
        <v>6.0</v>
      </c>
      <c r="G21" s="15"/>
      <c r="H21" s="15"/>
      <c r="I21" s="15"/>
      <c r="J21" s="15"/>
      <c r="K21" s="15"/>
      <c r="L21" s="15"/>
    </row>
    <row r="22" ht="12.75" customHeight="1">
      <c r="A22" s="37"/>
      <c r="B22" s="34">
        <v>7.0</v>
      </c>
      <c r="C22" s="35">
        <v>358.0</v>
      </c>
      <c r="D22" s="35">
        <v>783.38</v>
      </c>
      <c r="E22" s="35">
        <v>49.0</v>
      </c>
      <c r="F22" s="36">
        <v>7.0</v>
      </c>
      <c r="G22" s="15"/>
      <c r="H22" s="15"/>
      <c r="I22" s="15"/>
      <c r="J22" s="15"/>
      <c r="K22" s="15"/>
      <c r="L22" s="15"/>
    </row>
    <row r="23" ht="12.75" customHeight="1">
      <c r="A23" s="34">
        <v>8.0</v>
      </c>
      <c r="B23" s="37"/>
      <c r="C23" s="35">
        <v>417.0</v>
      </c>
      <c r="D23" s="35">
        <v>937.91</v>
      </c>
      <c r="E23" s="35">
        <v>56.0</v>
      </c>
      <c r="F23" s="36">
        <v>8.0</v>
      </c>
      <c r="G23" s="15"/>
      <c r="H23" s="15"/>
      <c r="I23" s="15"/>
      <c r="J23" s="15"/>
      <c r="K23" s="15"/>
      <c r="L23" s="15"/>
    </row>
    <row r="24" ht="12.75" customHeight="1">
      <c r="A24" s="37"/>
      <c r="B24" s="34">
        <v>9.0</v>
      </c>
      <c r="C24" s="35">
        <v>476.0</v>
      </c>
      <c r="D24" s="35">
        <v>1098.62</v>
      </c>
      <c r="E24" s="35">
        <v>63.0</v>
      </c>
      <c r="F24" s="36">
        <v>9.0</v>
      </c>
      <c r="G24" s="15"/>
      <c r="H24" s="15"/>
      <c r="I24" s="15"/>
      <c r="J24" s="15"/>
      <c r="K24" s="15"/>
      <c r="L24" s="15"/>
    </row>
    <row r="25" ht="12.75" customHeight="1">
      <c r="A25" s="34">
        <v>10.0</v>
      </c>
      <c r="B25" s="37"/>
      <c r="C25" s="35">
        <v>537.0</v>
      </c>
      <c r="D25" s="35">
        <v>1265.47</v>
      </c>
      <c r="E25" s="35">
        <v>70.0</v>
      </c>
      <c r="F25" s="36">
        <v>10.0</v>
      </c>
      <c r="G25" s="15"/>
      <c r="H25" s="15"/>
      <c r="I25" s="15"/>
      <c r="J25" s="15"/>
      <c r="K25" s="15"/>
      <c r="L25" s="15"/>
    </row>
    <row r="26" ht="12.75" customHeight="1">
      <c r="A26" s="37"/>
      <c r="B26" s="34">
        <v>11.0</v>
      </c>
      <c r="C26" s="35">
        <v>603.0</v>
      </c>
      <c r="D26" s="35">
        <v>1448.32</v>
      </c>
      <c r="E26" s="35">
        <v>78.0</v>
      </c>
      <c r="F26" s="36">
        <v>11.0</v>
      </c>
      <c r="G26" s="15"/>
      <c r="H26" s="15"/>
      <c r="I26" s="15"/>
      <c r="J26" s="15"/>
      <c r="K26" s="15"/>
      <c r="L26" s="15"/>
    </row>
    <row r="27" ht="12.75" customHeight="1">
      <c r="A27" s="34">
        <v>12.0</v>
      </c>
      <c r="B27" s="37"/>
      <c r="C27" s="35">
        <v>674.0</v>
      </c>
      <c r="D27" s="35">
        <v>1648.27</v>
      </c>
      <c r="E27" s="35">
        <v>86.0</v>
      </c>
      <c r="F27" s="36">
        <v>12.0</v>
      </c>
      <c r="G27" s="15"/>
      <c r="H27" s="15"/>
      <c r="I27" s="15"/>
      <c r="J27" s="15"/>
      <c r="K27" s="15"/>
      <c r="L27" s="15"/>
    </row>
    <row r="28" ht="12.75" customHeight="1">
      <c r="A28" s="37"/>
      <c r="B28" s="34">
        <v>13.0</v>
      </c>
      <c r="C28" s="35">
        <v>753.0</v>
      </c>
      <c r="D28" s="35">
        <v>1876.08</v>
      </c>
      <c r="E28" s="35">
        <v>95.0</v>
      </c>
      <c r="F28" s="36">
        <v>13.0</v>
      </c>
      <c r="G28" s="15"/>
      <c r="H28" s="15"/>
      <c r="I28" s="15"/>
      <c r="J28" s="15"/>
      <c r="K28" s="15"/>
      <c r="L28" s="15"/>
    </row>
    <row r="29" ht="12.75" customHeight="1">
      <c r="A29" s="34">
        <v>14.0</v>
      </c>
      <c r="B29" s="37"/>
      <c r="C29" s="35">
        <v>843.0</v>
      </c>
      <c r="D29" s="35">
        <v>2142.06</v>
      </c>
      <c r="E29" s="35">
        <v>105.0</v>
      </c>
      <c r="F29" s="36">
        <v>14.0</v>
      </c>
      <c r="G29" s="15"/>
      <c r="H29" s="15"/>
      <c r="I29" s="15"/>
      <c r="J29" s="15"/>
      <c r="K29" s="15"/>
      <c r="L29" s="15"/>
    </row>
    <row r="30" ht="12.75" customHeight="1">
      <c r="A30" s="37"/>
      <c r="B30" s="34">
        <v>15.0</v>
      </c>
      <c r="C30" s="35">
        <v>949.0</v>
      </c>
      <c r="D30" s="35">
        <v>2465.37</v>
      </c>
      <c r="E30" s="35">
        <v>117.0</v>
      </c>
      <c r="F30" s="36">
        <v>15.0</v>
      </c>
      <c r="G30" s="15"/>
      <c r="H30" s="15"/>
      <c r="I30" s="15"/>
      <c r="J30" s="15"/>
      <c r="K30" s="15"/>
      <c r="L30" s="15"/>
    </row>
    <row r="31" ht="12.75" customHeight="1">
      <c r="A31" s="34">
        <v>16.0</v>
      </c>
      <c r="B31" s="37"/>
      <c r="C31" s="35">
        <v>1076.0</v>
      </c>
      <c r="D31" s="35">
        <v>2866.31</v>
      </c>
      <c r="E31" s="35">
        <v>130.0</v>
      </c>
      <c r="F31" s="36">
        <v>16.0</v>
      </c>
      <c r="G31" s="15"/>
      <c r="H31" s="15"/>
      <c r="I31" s="15"/>
      <c r="J31" s="15"/>
      <c r="K31" s="15"/>
      <c r="L31" s="15"/>
    </row>
    <row r="32" ht="12.75" customHeight="1">
      <c r="A32" s="37"/>
      <c r="B32" s="34">
        <v>17.0</v>
      </c>
      <c r="C32" s="35">
        <v>1237.0</v>
      </c>
      <c r="D32" s="35">
        <v>3401.59</v>
      </c>
      <c r="E32" s="35">
        <v>147.0</v>
      </c>
      <c r="F32" s="36">
        <v>17.0</v>
      </c>
      <c r="G32" s="15"/>
      <c r="H32" s="15"/>
      <c r="I32" s="15"/>
      <c r="J32" s="15"/>
      <c r="K32" s="15"/>
      <c r="L32" s="15"/>
    </row>
    <row r="33" ht="12.75" customHeight="1">
      <c r="A33" s="34">
        <v>18.0</v>
      </c>
      <c r="B33" s="37"/>
      <c r="C33" s="35">
        <v>1459.0</v>
      </c>
      <c r="D33" s="35">
        <v>4155.73</v>
      </c>
      <c r="E33" s="35">
        <v>170.0</v>
      </c>
      <c r="F33" s="36">
        <v>18.0</v>
      </c>
      <c r="G33" s="15"/>
      <c r="H33" s="15"/>
      <c r="I33" s="15"/>
      <c r="J33" s="15"/>
      <c r="K33" s="15"/>
      <c r="L33" s="15"/>
    </row>
    <row r="34" ht="12.75" customHeight="1">
      <c r="A34" s="37"/>
      <c r="B34" s="34">
        <v>19.0</v>
      </c>
      <c r="C34" s="35">
        <v>1801.0</v>
      </c>
      <c r="D34" s="35">
        <v>5400.08</v>
      </c>
      <c r="E34" s="35">
        <v>205.0</v>
      </c>
      <c r="F34" s="36">
        <v>19.0</v>
      </c>
      <c r="G34" s="15"/>
      <c r="H34" s="15"/>
      <c r="I34" s="15"/>
      <c r="J34" s="15"/>
      <c r="K34" s="15"/>
      <c r="L34" s="15"/>
    </row>
    <row r="35" ht="12.75" customHeight="1">
      <c r="A35" s="34">
        <v>20.0</v>
      </c>
      <c r="B35" s="37"/>
      <c r="C35" s="35">
        <v>2479.0</v>
      </c>
      <c r="D35" s="35">
        <v>8037.54</v>
      </c>
      <c r="E35" s="35">
        <v>281.0</v>
      </c>
      <c r="F35" s="36">
        <v>20.0</v>
      </c>
      <c r="G35" s="15"/>
      <c r="H35" s="15"/>
      <c r="I35" s="15"/>
      <c r="J35" s="15"/>
      <c r="K35" s="15"/>
      <c r="L35" s="15"/>
    </row>
    <row r="36" ht="12.75" customHeight="1">
      <c r="A36" s="37"/>
      <c r="B36" s="34">
        <v>21.0</v>
      </c>
      <c r="C36" s="35">
        <v>594601.0</v>
      </c>
      <c r="D36" s="35">
        <v>223212.0</v>
      </c>
      <c r="E36" s="35">
        <v>3920.0</v>
      </c>
      <c r="F36" s="36">
        <v>21.0</v>
      </c>
      <c r="G36" s="15"/>
      <c r="H36" s="15"/>
      <c r="I36" s="15"/>
      <c r="J36" s="15"/>
      <c r="K36" s="15"/>
      <c r="L36" s="15"/>
    </row>
    <row r="37" ht="12.75" customHeight="1">
      <c r="A37" s="33"/>
      <c r="B37" s="37"/>
      <c r="C37" s="38"/>
      <c r="D37" s="38"/>
      <c r="E37" s="38"/>
      <c r="F37" s="39"/>
      <c r="G37" s="15"/>
      <c r="H37" s="15"/>
      <c r="I37" s="15"/>
      <c r="J37" s="15"/>
      <c r="K37" s="15"/>
      <c r="L37" s="15"/>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22">
    <mergeCell ref="A21:A22"/>
    <mergeCell ref="A23:A24"/>
    <mergeCell ref="A15:B15"/>
    <mergeCell ref="B16:B17"/>
    <mergeCell ref="A17:A18"/>
    <mergeCell ref="B18:B19"/>
    <mergeCell ref="A19:A20"/>
    <mergeCell ref="B20:B21"/>
    <mergeCell ref="B22:B23"/>
    <mergeCell ref="B30:B31"/>
    <mergeCell ref="B32:B33"/>
    <mergeCell ref="A33:A34"/>
    <mergeCell ref="B34:B35"/>
    <mergeCell ref="A35:A36"/>
    <mergeCell ref="B36:B37"/>
    <mergeCell ref="B24:B25"/>
    <mergeCell ref="A25:A26"/>
    <mergeCell ref="B26:B27"/>
    <mergeCell ref="A27:A28"/>
    <mergeCell ref="B28:B29"/>
    <mergeCell ref="A29:A30"/>
    <mergeCell ref="A31:A32"/>
  </mergeCells>
  <hyperlinks>
    <hyperlink r:id="rId1" ref="A9"/>
    <hyperlink r:id="rId2" ref="A10"/>
    <hyperlink r:id="rId3" ref="A11"/>
  </hyperlinks>
  <printOptions/>
  <pageMargins bottom="0.75" footer="0.0" header="0.0" left="0.7" right="0.7" top="0.75"/>
  <pageSetup orientation="landscape"/>
  <drawing r:id="rId4"/>
</worksheet>
</file>